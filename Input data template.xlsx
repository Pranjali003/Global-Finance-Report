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filterPrivacy="1"/>
  <xr:revisionPtr revIDLastSave="0" documentId="13_ncr:1_{023C6DA7-7FC6-44E1-BE91-483A16E22849}" xr6:coauthVersionLast="47" xr6:coauthVersionMax="47" xr10:uidLastSave="{00000000-0000-0000-0000-000000000000}"/>
  <bookViews>
    <workbookView xWindow="-110" yWindow="-110" windowWidth="19420" windowHeight="11500" firstSheet="19" activeTab="21" xr2:uid="{00000000-000D-0000-FFFF-FFFF00000000}"/>
  </bookViews>
  <sheets>
    <sheet name="Cost and Hours per Month" sheetId="1" r:id="rId1"/>
    <sheet name="Target Sales" sheetId="2" r:id="rId2"/>
    <sheet name="Actual Sales" sheetId="3" r:id="rId3"/>
    <sheet name="Sales Per Color" sheetId="4" r:id="rId4"/>
    <sheet name="Top 10 Pipeline" sheetId="5" r:id="rId5"/>
    <sheet name="Overheads" sheetId="7" r:id="rId6"/>
    <sheet name="Proposal Cost" sheetId="11" r:id="rId7"/>
    <sheet name="Sales Grey" sheetId="10" r:id="rId8"/>
    <sheet name="OI GM as sold" sheetId="12" r:id="rId9"/>
    <sheet name="Project execution (WS3)" sheetId="6" r:id="rId10"/>
    <sheet name="Sheet2" sheetId="24" r:id="rId11"/>
    <sheet name="OU PP (WS4)" sheetId="13" r:id="rId12"/>
    <sheet name="OU CP (WS4)" sheetId="14" r:id="rId13"/>
    <sheet name="CRM Data" sheetId="15" r:id="rId14"/>
    <sheet name="Sales Fixed" sheetId="17" r:id="rId15"/>
    <sheet name="Sales HMR" sheetId="16" r:id="rId16"/>
    <sheet name="Sales All" sheetId="18" r:id="rId17"/>
    <sheet name="Overhead(WS5)" sheetId="19" r:id="rId18"/>
    <sheet name="Billable Ratio(WS5)" sheetId="20" r:id="rId19"/>
    <sheet name="OI GM Green Ammonia (WS7)" sheetId="21" r:id="rId20"/>
    <sheet name="Clean Tech (WS8)" sheetId="22" r:id="rId21"/>
    <sheet name="Page Access" sheetId="23" r:id="rId22"/>
    <sheet name="Order Intake (WS1)" sheetId="8" state="hidden" r:id="rId23"/>
    <sheet name="Sales (WS1,2,7,8)" sheetId="9" state="hidden" r:id="rId2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" i="22" l="1"/>
  <c r="J6" i="22"/>
  <c r="H6" i="22"/>
  <c r="F6" i="22"/>
  <c r="L5" i="22"/>
  <c r="J5" i="22"/>
  <c r="H5" i="22"/>
  <c r="F5" i="22"/>
  <c r="L4" i="22"/>
  <c r="J4" i="22"/>
  <c r="H4" i="22"/>
  <c r="F4" i="22"/>
  <c r="L3" i="22"/>
  <c r="J3" i="22"/>
  <c r="H3" i="22"/>
  <c r="F3" i="22"/>
  <c r="L2" i="22"/>
  <c r="J2" i="22"/>
  <c r="H2" i="22"/>
  <c r="F2" i="22"/>
  <c r="I2" i="21"/>
  <c r="G2" i="21"/>
  <c r="E2" i="21"/>
  <c r="D2" i="21"/>
  <c r="F2" i="21" s="1"/>
  <c r="H2" i="21" s="1"/>
  <c r="G4" i="19"/>
  <c r="E4" i="19"/>
  <c r="G3" i="19"/>
  <c r="E3" i="19"/>
  <c r="G2" i="19"/>
  <c r="E2" i="19"/>
  <c r="H17" i="17"/>
  <c r="G17" i="17"/>
  <c r="F17" i="17"/>
  <c r="E17" i="17"/>
  <c r="D17" i="17"/>
  <c r="C17" i="17"/>
  <c r="H16" i="17"/>
  <c r="G16" i="17"/>
  <c r="F16" i="17"/>
  <c r="E16" i="17"/>
  <c r="D16" i="17"/>
  <c r="C16" i="17"/>
  <c r="H15" i="17"/>
  <c r="G15" i="17"/>
  <c r="F15" i="17"/>
  <c r="E15" i="17"/>
  <c r="D15" i="17"/>
  <c r="C15" i="17"/>
  <c r="H14" i="17"/>
  <c r="G14" i="17"/>
  <c r="F14" i="17"/>
  <c r="E14" i="17"/>
  <c r="D14" i="17"/>
  <c r="C14" i="17"/>
  <c r="H13" i="17"/>
  <c r="G13" i="17"/>
  <c r="F13" i="17"/>
  <c r="E13" i="17"/>
  <c r="D13" i="17"/>
  <c r="C13" i="17"/>
  <c r="H12" i="17"/>
  <c r="G12" i="17"/>
  <c r="F12" i="17"/>
  <c r="E12" i="17"/>
  <c r="D12" i="17"/>
  <c r="C12" i="17"/>
  <c r="H11" i="17"/>
  <c r="G11" i="17"/>
  <c r="F11" i="17"/>
  <c r="E11" i="17"/>
  <c r="D11" i="17"/>
  <c r="C11" i="17"/>
  <c r="H10" i="17"/>
  <c r="G10" i="17"/>
  <c r="F10" i="17"/>
  <c r="E10" i="17"/>
  <c r="D10" i="17"/>
  <c r="C10" i="17"/>
  <c r="H9" i="17"/>
  <c r="G9" i="17"/>
  <c r="F9" i="17"/>
  <c r="E9" i="17"/>
  <c r="D9" i="17"/>
  <c r="C9" i="17"/>
  <c r="H8" i="17"/>
  <c r="G8" i="17"/>
  <c r="F8" i="17"/>
  <c r="E8" i="17"/>
  <c r="D8" i="17"/>
  <c r="C8" i="17"/>
  <c r="H7" i="17"/>
  <c r="G7" i="17"/>
  <c r="F7" i="17"/>
  <c r="E7" i="17"/>
  <c r="D7" i="17"/>
  <c r="C7" i="17"/>
  <c r="H6" i="17"/>
  <c r="G6" i="17"/>
  <c r="F6" i="17"/>
  <c r="E6" i="17"/>
  <c r="D6" i="17"/>
  <c r="C6" i="17"/>
  <c r="H5" i="17"/>
  <c r="G5" i="17"/>
  <c r="F5" i="17"/>
  <c r="E5" i="17"/>
  <c r="D5" i="17"/>
  <c r="C5" i="17"/>
  <c r="H4" i="17"/>
  <c r="G4" i="17"/>
  <c r="F4" i="17"/>
  <c r="E4" i="17"/>
  <c r="D4" i="17"/>
  <c r="C4" i="17"/>
  <c r="H3" i="17"/>
  <c r="G3" i="17"/>
  <c r="F3" i="17"/>
  <c r="E3" i="17"/>
  <c r="D3" i="17"/>
  <c r="C3" i="17"/>
  <c r="H2" i="17"/>
  <c r="G2" i="17"/>
  <c r="F2" i="17"/>
  <c r="E2" i="17"/>
  <c r="D2" i="17"/>
  <c r="C2" i="17"/>
  <c r="H17" i="16"/>
  <c r="G17" i="16"/>
  <c r="F17" i="16"/>
  <c r="E17" i="16"/>
  <c r="D17" i="16"/>
  <c r="C17" i="16"/>
  <c r="B17" i="16"/>
  <c r="H16" i="16"/>
  <c r="G16" i="16"/>
  <c r="F16" i="16"/>
  <c r="E16" i="16"/>
  <c r="D16" i="16"/>
  <c r="C16" i="16"/>
  <c r="B16" i="16"/>
  <c r="H15" i="16"/>
  <c r="G15" i="16"/>
  <c r="F15" i="16"/>
  <c r="E15" i="16"/>
  <c r="D15" i="16"/>
  <c r="C15" i="16"/>
  <c r="B15" i="16"/>
  <c r="H14" i="16"/>
  <c r="G14" i="16"/>
  <c r="F14" i="16"/>
  <c r="E14" i="16"/>
  <c r="D14" i="16"/>
  <c r="C14" i="16"/>
  <c r="B14" i="16"/>
  <c r="H13" i="16"/>
  <c r="G13" i="16"/>
  <c r="F13" i="16"/>
  <c r="E13" i="16"/>
  <c r="D13" i="16"/>
  <c r="C13" i="16"/>
  <c r="B13" i="16"/>
  <c r="H12" i="16"/>
  <c r="G12" i="16"/>
  <c r="F12" i="16"/>
  <c r="E12" i="16"/>
  <c r="D12" i="16"/>
  <c r="C12" i="16"/>
  <c r="B12" i="16"/>
  <c r="H11" i="16"/>
  <c r="G11" i="16"/>
  <c r="F11" i="16"/>
  <c r="E11" i="16"/>
  <c r="D11" i="16"/>
  <c r="C11" i="16"/>
  <c r="B11" i="16"/>
  <c r="H10" i="16"/>
  <c r="G10" i="16"/>
  <c r="F10" i="16"/>
  <c r="E10" i="16"/>
  <c r="D10" i="16"/>
  <c r="C10" i="16"/>
  <c r="B10" i="16"/>
  <c r="H9" i="16"/>
  <c r="G9" i="16"/>
  <c r="F9" i="16"/>
  <c r="E9" i="16"/>
  <c r="D9" i="16"/>
  <c r="C9" i="16"/>
  <c r="B9" i="16"/>
  <c r="H8" i="16"/>
  <c r="G8" i="16"/>
  <c r="F8" i="16"/>
  <c r="E8" i="16"/>
  <c r="D8" i="16"/>
  <c r="C8" i="16"/>
  <c r="B8" i="16"/>
  <c r="H7" i="16"/>
  <c r="G7" i="16"/>
  <c r="F7" i="16"/>
  <c r="E7" i="16"/>
  <c r="D7" i="16"/>
  <c r="C7" i="16"/>
  <c r="B7" i="16"/>
  <c r="H6" i="16"/>
  <c r="G6" i="16"/>
  <c r="F6" i="16"/>
  <c r="E6" i="16"/>
  <c r="D6" i="16"/>
  <c r="C6" i="16"/>
  <c r="B6" i="16"/>
  <c r="H5" i="16"/>
  <c r="G5" i="16"/>
  <c r="F5" i="16"/>
  <c r="E5" i="16"/>
  <c r="D5" i="16"/>
  <c r="C5" i="16"/>
  <c r="B5" i="16"/>
  <c r="H4" i="16"/>
  <c r="G4" i="16"/>
  <c r="F4" i="16"/>
  <c r="E4" i="16"/>
  <c r="D4" i="16"/>
  <c r="C4" i="16"/>
  <c r="B4" i="16"/>
  <c r="H3" i="16"/>
  <c r="G3" i="16"/>
  <c r="F3" i="16"/>
  <c r="E3" i="16"/>
  <c r="D3" i="16"/>
  <c r="C3" i="16"/>
  <c r="B3" i="16"/>
  <c r="H2" i="16"/>
  <c r="G2" i="16"/>
  <c r="F2" i="16"/>
  <c r="E2" i="16"/>
  <c r="D2" i="16"/>
  <c r="C2" i="16"/>
  <c r="B2" i="16"/>
  <c r="J27" i="15"/>
  <c r="I27" i="15"/>
  <c r="H27" i="15"/>
  <c r="G27" i="15"/>
  <c r="J26" i="15"/>
  <c r="I26" i="15"/>
  <c r="H26" i="15"/>
  <c r="G26" i="15"/>
  <c r="J25" i="15"/>
  <c r="I25" i="15"/>
  <c r="H25" i="15"/>
  <c r="G25" i="15"/>
  <c r="J24" i="15"/>
  <c r="I24" i="15"/>
  <c r="H24" i="15"/>
  <c r="G24" i="15"/>
  <c r="J23" i="15"/>
  <c r="I23" i="15"/>
  <c r="H23" i="15"/>
  <c r="G23" i="15"/>
  <c r="J22" i="15"/>
  <c r="I22" i="15"/>
  <c r="H22" i="15"/>
  <c r="G22" i="15"/>
  <c r="J21" i="15"/>
  <c r="I21" i="15"/>
  <c r="H21" i="15"/>
  <c r="G21" i="15"/>
  <c r="J20" i="15"/>
  <c r="I20" i="15"/>
  <c r="H20" i="15"/>
  <c r="G20" i="15"/>
  <c r="J19" i="15"/>
  <c r="I19" i="15"/>
  <c r="H19" i="15"/>
  <c r="G19" i="15"/>
  <c r="J18" i="15"/>
  <c r="I18" i="15"/>
  <c r="H18" i="15"/>
  <c r="G18" i="15"/>
  <c r="J17" i="15"/>
  <c r="I17" i="15"/>
  <c r="H17" i="15"/>
  <c r="G17" i="15"/>
  <c r="J16" i="15"/>
  <c r="I16" i="15"/>
  <c r="H16" i="15"/>
  <c r="G16" i="15"/>
  <c r="J15" i="15"/>
  <c r="I15" i="15"/>
  <c r="H15" i="15"/>
  <c r="G15" i="15"/>
  <c r="J14" i="15"/>
  <c r="I14" i="15"/>
  <c r="H14" i="15"/>
  <c r="G14" i="15"/>
  <c r="J13" i="15"/>
  <c r="I13" i="15"/>
  <c r="H13" i="15"/>
  <c r="G13" i="15"/>
  <c r="J12" i="15"/>
  <c r="I12" i="15"/>
  <c r="H12" i="15"/>
  <c r="G12" i="15"/>
  <c r="J11" i="15"/>
  <c r="I11" i="15"/>
  <c r="H11" i="15"/>
  <c r="G11" i="15"/>
  <c r="J10" i="15"/>
  <c r="I10" i="15"/>
  <c r="H10" i="15"/>
  <c r="G10" i="15"/>
  <c r="J9" i="15"/>
  <c r="I9" i="15"/>
  <c r="H9" i="15"/>
  <c r="G9" i="15"/>
  <c r="J8" i="15"/>
  <c r="I8" i="15"/>
  <c r="H8" i="15"/>
  <c r="G8" i="15"/>
  <c r="J7" i="15"/>
  <c r="I7" i="15"/>
  <c r="H7" i="15"/>
  <c r="G7" i="15"/>
  <c r="J6" i="15"/>
  <c r="I6" i="15"/>
  <c r="H6" i="15"/>
  <c r="G6" i="15"/>
  <c r="J5" i="15"/>
  <c r="I5" i="15"/>
  <c r="H5" i="15"/>
  <c r="G5" i="15"/>
  <c r="J4" i="15"/>
  <c r="I4" i="15"/>
  <c r="H4" i="15"/>
  <c r="G4" i="15"/>
  <c r="K3" i="15"/>
  <c r="K4" i="15" s="1"/>
  <c r="K5" i="15" s="1"/>
  <c r="K6" i="15" s="1"/>
  <c r="K7" i="15" s="1"/>
  <c r="K8" i="15" s="1"/>
  <c r="K9" i="15" s="1"/>
  <c r="K10" i="15" s="1"/>
  <c r="K11" i="15" s="1"/>
  <c r="K12" i="15" s="1"/>
  <c r="K13" i="15" s="1"/>
  <c r="K14" i="15" s="1"/>
  <c r="K15" i="15" s="1"/>
  <c r="K16" i="15" s="1"/>
  <c r="K17" i="15" s="1"/>
  <c r="K18" i="15" s="1"/>
  <c r="K19" i="15" s="1"/>
  <c r="K20" i="15" s="1"/>
  <c r="K21" i="15" s="1"/>
  <c r="K22" i="15" s="1"/>
  <c r="K23" i="15" s="1"/>
  <c r="K24" i="15" s="1"/>
  <c r="K25" i="15" s="1"/>
  <c r="K26" i="15" s="1"/>
  <c r="K27" i="15" s="1"/>
  <c r="J3" i="15"/>
  <c r="I3" i="15"/>
  <c r="H3" i="15"/>
  <c r="G3" i="15"/>
  <c r="F3" i="15"/>
  <c r="F4" i="15" s="1"/>
  <c r="F5" i="15" s="1"/>
  <c r="F6" i="15" s="1"/>
  <c r="F7" i="15" s="1"/>
  <c r="F8" i="15" s="1"/>
  <c r="F9" i="15" s="1"/>
  <c r="F10" i="15" s="1"/>
  <c r="F11" i="15" s="1"/>
  <c r="F12" i="15" s="1"/>
  <c r="F13" i="15" s="1"/>
  <c r="F14" i="15" s="1"/>
  <c r="F15" i="15" s="1"/>
  <c r="F16" i="15" s="1"/>
  <c r="F17" i="15" s="1"/>
  <c r="F18" i="15" s="1"/>
  <c r="F19" i="15" s="1"/>
  <c r="F20" i="15" s="1"/>
  <c r="F21" i="15" s="1"/>
  <c r="F22" i="15" s="1"/>
  <c r="F23" i="15" s="1"/>
  <c r="F24" i="15" s="1"/>
  <c r="F25" i="15" s="1"/>
  <c r="F26" i="15" s="1"/>
  <c r="F27" i="15" s="1"/>
  <c r="J2" i="15"/>
  <c r="I2" i="15"/>
  <c r="H2" i="15"/>
  <c r="G2" i="15"/>
  <c r="C6" i="10" l="1"/>
  <c r="D6" i="10"/>
  <c r="C5" i="10"/>
  <c r="D5" i="10"/>
  <c r="C4" i="10"/>
  <c r="D4" i="10"/>
  <c r="C3" i="10"/>
  <c r="D3" i="10"/>
  <c r="C2" i="10"/>
  <c r="D2" i="10"/>
  <c r="F6" i="12"/>
  <c r="H6" i="12" s="1"/>
  <c r="J6" i="12" s="1"/>
  <c r="F5" i="12"/>
  <c r="H5" i="12" s="1"/>
  <c r="J5" i="12" s="1"/>
  <c r="F4" i="12"/>
  <c r="H4" i="12" s="1"/>
  <c r="J4" i="12" s="1"/>
  <c r="F3" i="12"/>
  <c r="H3" i="12" s="1"/>
  <c r="J3" i="12" s="1"/>
  <c r="F2" i="12"/>
  <c r="H2" i="12" s="1"/>
  <c r="J2" i="12" s="1"/>
  <c r="G6" i="11"/>
  <c r="F6" i="11"/>
  <c r="D6" i="11"/>
  <c r="C6" i="11"/>
  <c r="G5" i="11"/>
  <c r="F5" i="11"/>
  <c r="D5" i="11"/>
  <c r="C5" i="11"/>
  <c r="G4" i="11"/>
  <c r="F4" i="11"/>
  <c r="D4" i="11"/>
  <c r="C4" i="11"/>
  <c r="G3" i="11"/>
  <c r="F3" i="11"/>
  <c r="D3" i="11"/>
  <c r="C3" i="11"/>
  <c r="G2" i="11"/>
  <c r="F2" i="11"/>
  <c r="D2" i="11"/>
  <c r="C2" i="11"/>
  <c r="E2" i="11" l="1"/>
  <c r="H3" i="11"/>
  <c r="E3" i="11"/>
  <c r="E5" i="11"/>
  <c r="H2" i="11"/>
  <c r="H5" i="11"/>
  <c r="H4" i="11"/>
  <c r="H6" i="11"/>
  <c r="E4" i="11"/>
  <c r="E6" i="11"/>
  <c r="D11" i="9"/>
  <c r="F11" i="9" s="1"/>
  <c r="H11" i="9" s="1"/>
  <c r="D10" i="9"/>
  <c r="F10" i="9" s="1"/>
  <c r="H10" i="9" s="1"/>
  <c r="D9" i="9"/>
  <c r="F9" i="9" s="1"/>
  <c r="H9" i="9" s="1"/>
  <c r="D8" i="9"/>
  <c r="F8" i="9" s="1"/>
  <c r="H8" i="9" s="1"/>
  <c r="D7" i="9"/>
  <c r="F7" i="9" s="1"/>
  <c r="H7" i="9" s="1"/>
  <c r="D6" i="9"/>
  <c r="F6" i="9" s="1"/>
  <c r="H6" i="9" s="1"/>
  <c r="D5" i="9"/>
  <c r="F5" i="9" s="1"/>
  <c r="H5" i="9" s="1"/>
  <c r="D4" i="9"/>
  <c r="F4" i="9" s="1"/>
  <c r="H4" i="9" s="1"/>
  <c r="D3" i="9"/>
  <c r="F3" i="9" s="1"/>
  <c r="H3" i="9" s="1"/>
  <c r="D2" i="9"/>
  <c r="F2" i="9" s="1"/>
  <c r="H2" i="9" s="1"/>
  <c r="K6" i="6" l="1"/>
  <c r="J6" i="6"/>
  <c r="I6" i="6"/>
  <c r="K5" i="6"/>
  <c r="J5" i="6"/>
  <c r="I5" i="6"/>
  <c r="K4" i="6"/>
  <c r="J4" i="6"/>
  <c r="I4" i="6"/>
  <c r="K3" i="6"/>
  <c r="J3" i="6"/>
  <c r="I3" i="6"/>
  <c r="K2" i="6"/>
  <c r="J2" i="6"/>
  <c r="I2" i="6"/>
  <c r="E73" i="1"/>
  <c r="I73" i="1" s="1"/>
  <c r="E72" i="1"/>
  <c r="I72" i="1" s="1"/>
  <c r="E71" i="1"/>
  <c r="D71" i="1" s="1"/>
  <c r="E70" i="1"/>
  <c r="I70" i="1" s="1"/>
  <c r="E69" i="1"/>
  <c r="I69" i="1" s="1"/>
  <c r="E68" i="1"/>
  <c r="I68" i="1" s="1"/>
  <c r="E67" i="1"/>
  <c r="I67" i="1" s="1"/>
  <c r="E66" i="1"/>
  <c r="I66" i="1" s="1"/>
  <c r="E65" i="1"/>
  <c r="I65" i="1" s="1"/>
  <c r="E64" i="1"/>
  <c r="D64" i="1" s="1"/>
  <c r="G64" i="1" s="1"/>
  <c r="E63" i="1"/>
  <c r="I63" i="1" s="1"/>
  <c r="E62" i="1"/>
  <c r="I62" i="1" s="1"/>
  <c r="E61" i="1"/>
  <c r="I61" i="1" s="1"/>
  <c r="E60" i="1"/>
  <c r="I60" i="1" s="1"/>
  <c r="E59" i="1"/>
  <c r="I59" i="1" s="1"/>
  <c r="E58" i="1"/>
  <c r="I58" i="1" s="1"/>
  <c r="E57" i="1"/>
  <c r="I57" i="1" s="1"/>
  <c r="E56" i="1"/>
  <c r="I56" i="1" s="1"/>
  <c r="E55" i="1"/>
  <c r="D55" i="1" s="1"/>
  <c r="E54" i="1"/>
  <c r="I54" i="1" s="1"/>
  <c r="E53" i="1"/>
  <c r="I53" i="1" s="1"/>
  <c r="E52" i="1"/>
  <c r="D52" i="1" s="1"/>
  <c r="G52" i="1" s="1"/>
  <c r="E51" i="1"/>
  <c r="I51" i="1" s="1"/>
  <c r="E50" i="1"/>
  <c r="I50" i="1" s="1"/>
  <c r="E49" i="1"/>
  <c r="I49" i="1" s="1"/>
  <c r="E48" i="1"/>
  <c r="D48" i="1" s="1"/>
  <c r="G48" i="1" s="1"/>
  <c r="E47" i="1"/>
  <c r="I47" i="1" s="1"/>
  <c r="E46" i="1"/>
  <c r="I46" i="1" s="1"/>
  <c r="E45" i="1"/>
  <c r="I45" i="1" s="1"/>
  <c r="E44" i="1"/>
  <c r="I44" i="1" s="1"/>
  <c r="E43" i="1"/>
  <c r="I43" i="1" s="1"/>
  <c r="E42" i="1"/>
  <c r="I42" i="1" s="1"/>
  <c r="E41" i="1"/>
  <c r="I41" i="1" s="1"/>
  <c r="E40" i="1"/>
  <c r="I40" i="1" s="1"/>
  <c r="E39" i="1"/>
  <c r="D39" i="1" s="1"/>
  <c r="E38" i="1"/>
  <c r="I38" i="1" s="1"/>
  <c r="E37" i="1"/>
  <c r="I37" i="1" s="1"/>
  <c r="E36" i="1"/>
  <c r="D36" i="1" s="1"/>
  <c r="G36" i="1" s="1"/>
  <c r="E35" i="1"/>
  <c r="I35" i="1" s="1"/>
  <c r="E34" i="1"/>
  <c r="I34" i="1" s="1"/>
  <c r="E33" i="1"/>
  <c r="I33" i="1" s="1"/>
  <c r="E32" i="1"/>
  <c r="D32" i="1" s="1"/>
  <c r="G32" i="1" s="1"/>
  <c r="E31" i="1"/>
  <c r="I31" i="1" s="1"/>
  <c r="E30" i="1"/>
  <c r="I30" i="1" s="1"/>
  <c r="E29" i="1"/>
  <c r="I29" i="1" s="1"/>
  <c r="E28" i="1"/>
  <c r="I28" i="1" s="1"/>
  <c r="E27" i="1"/>
  <c r="D27" i="1" s="1"/>
  <c r="E26" i="1"/>
  <c r="I26" i="1" s="1"/>
  <c r="E25" i="1"/>
  <c r="I25" i="1" s="1"/>
  <c r="E24" i="1"/>
  <c r="D24" i="1" s="1"/>
  <c r="G24" i="1" s="1"/>
  <c r="E23" i="1"/>
  <c r="D23" i="1" s="1"/>
  <c r="E22" i="1"/>
  <c r="I22" i="1" s="1"/>
  <c r="E21" i="1"/>
  <c r="I21" i="1" s="1"/>
  <c r="E20" i="1"/>
  <c r="I20" i="1" s="1"/>
  <c r="E19" i="1"/>
  <c r="D19" i="1" s="1"/>
  <c r="E18" i="1"/>
  <c r="I18" i="1" s="1"/>
  <c r="E17" i="1"/>
  <c r="I17" i="1" s="1"/>
  <c r="E16" i="1"/>
  <c r="I16" i="1" s="1"/>
  <c r="E15" i="1"/>
  <c r="D15" i="1" s="1"/>
  <c r="E14" i="1"/>
  <c r="I14" i="1" s="1"/>
  <c r="E13" i="1"/>
  <c r="I13" i="1" s="1"/>
  <c r="E12" i="1"/>
  <c r="D12" i="1" s="1"/>
  <c r="G12" i="1" s="1"/>
  <c r="E11" i="1"/>
  <c r="D11" i="1" s="1"/>
  <c r="E10" i="1"/>
  <c r="I10" i="1" s="1"/>
  <c r="E9" i="1"/>
  <c r="I9" i="1" s="1"/>
  <c r="E8" i="1"/>
  <c r="I8" i="1" s="1"/>
  <c r="E7" i="1"/>
  <c r="D7" i="1" s="1"/>
  <c r="E6" i="1"/>
  <c r="I6" i="1" s="1"/>
  <c r="E5" i="1"/>
  <c r="I5" i="1" s="1"/>
  <c r="E4" i="1"/>
  <c r="I4" i="1" s="1"/>
  <c r="E3" i="1"/>
  <c r="I3" i="1" s="1"/>
  <c r="E2" i="1"/>
  <c r="I2" i="1" s="1"/>
  <c r="D51" i="1" l="1"/>
  <c r="G51" i="1" s="1"/>
  <c r="D37" i="1"/>
  <c r="G37" i="1" s="1"/>
  <c r="D18" i="1"/>
  <c r="G18" i="1" s="1"/>
  <c r="I52" i="1"/>
  <c r="D61" i="1"/>
  <c r="G61" i="1" s="1"/>
  <c r="D46" i="1"/>
  <c r="G46" i="1" s="1"/>
  <c r="D70" i="1"/>
  <c r="G70" i="1" s="1"/>
  <c r="D10" i="1"/>
  <c r="G10" i="1" s="1"/>
  <c r="D38" i="1"/>
  <c r="G38" i="1" s="1"/>
  <c r="D26" i="1"/>
  <c r="G26" i="1" s="1"/>
  <c r="D47" i="1"/>
  <c r="F47" i="1" s="1"/>
  <c r="D59" i="1"/>
  <c r="G59" i="1" s="1"/>
  <c r="D28" i="1"/>
  <c r="G28" i="1" s="1"/>
  <c r="I15" i="1"/>
  <c r="I39" i="1"/>
  <c r="D49" i="1"/>
  <c r="G49" i="1" s="1"/>
  <c r="D53" i="1"/>
  <c r="G53" i="1" s="1"/>
  <c r="D4" i="1"/>
  <c r="G4" i="1" s="1"/>
  <c r="D16" i="1"/>
  <c r="G16" i="1" s="1"/>
  <c r="I27" i="1"/>
  <c r="D33" i="1"/>
  <c r="F33" i="1" s="1"/>
  <c r="D43" i="1"/>
  <c r="G43" i="1" s="1"/>
  <c r="D58" i="1"/>
  <c r="G58" i="1" s="1"/>
  <c r="D63" i="1"/>
  <c r="F63" i="1" s="1"/>
  <c r="D35" i="1"/>
  <c r="F35" i="1" s="1"/>
  <c r="D45" i="1"/>
  <c r="G45" i="1" s="1"/>
  <c r="D14" i="1"/>
  <c r="G14" i="1" s="1"/>
  <c r="D30" i="1"/>
  <c r="G30" i="1" s="1"/>
  <c r="D72" i="1"/>
  <c r="G72" i="1" s="1"/>
  <c r="D20" i="1"/>
  <c r="G20" i="1" s="1"/>
  <c r="I36" i="1"/>
  <c r="D68" i="1"/>
  <c r="G68" i="1" s="1"/>
  <c r="D5" i="1"/>
  <c r="G5" i="1" s="1"/>
  <c r="D25" i="1"/>
  <c r="G25" i="1" s="1"/>
  <c r="D29" i="1"/>
  <c r="G29" i="1" s="1"/>
  <c r="D42" i="1"/>
  <c r="G42" i="1" s="1"/>
  <c r="D54" i="1"/>
  <c r="G54" i="1" s="1"/>
  <c r="D62" i="1"/>
  <c r="G62" i="1" s="1"/>
  <c r="D67" i="1"/>
  <c r="G67" i="1" s="1"/>
  <c r="I12" i="1"/>
  <c r="I55" i="1"/>
  <c r="I71" i="1"/>
  <c r="D3" i="1"/>
  <c r="G3" i="1" s="1"/>
  <c r="D8" i="1"/>
  <c r="G8" i="1" s="1"/>
  <c r="D13" i="1"/>
  <c r="G13" i="1" s="1"/>
  <c r="D17" i="1"/>
  <c r="G17" i="1" s="1"/>
  <c r="D22" i="1"/>
  <c r="G22" i="1" s="1"/>
  <c r="D31" i="1"/>
  <c r="F31" i="1" s="1"/>
  <c r="D56" i="1"/>
  <c r="G56" i="1" s="1"/>
  <c r="D60" i="1"/>
  <c r="G60" i="1" s="1"/>
  <c r="D40" i="1"/>
  <c r="G40" i="1" s="1"/>
  <c r="D44" i="1"/>
  <c r="G44" i="1" s="1"/>
  <c r="D65" i="1"/>
  <c r="F65" i="1" s="1"/>
  <c r="D69" i="1"/>
  <c r="F69" i="1" s="1"/>
  <c r="G71" i="1"/>
  <c r="F71" i="1"/>
  <c r="F55" i="1"/>
  <c r="G55" i="1"/>
  <c r="F39" i="1"/>
  <c r="G39" i="1"/>
  <c r="I11" i="1"/>
  <c r="I24" i="1"/>
  <c r="I32" i="1"/>
  <c r="I48" i="1"/>
  <c r="I7" i="1"/>
  <c r="I19" i="1"/>
  <c r="D9" i="1"/>
  <c r="I23" i="1"/>
  <c r="D34" i="1"/>
  <c r="G34" i="1" s="1"/>
  <c r="D41" i="1"/>
  <c r="D50" i="1"/>
  <c r="G50" i="1" s="1"/>
  <c r="D57" i="1"/>
  <c r="D66" i="1"/>
  <c r="G66" i="1" s="1"/>
  <c r="D73" i="1"/>
  <c r="G73" i="1" s="1"/>
  <c r="I64" i="1"/>
  <c r="D6" i="1"/>
  <c r="G6" i="1" s="1"/>
  <c r="D21" i="1"/>
  <c r="G23" i="1"/>
  <c r="F23" i="1"/>
  <c r="G19" i="1"/>
  <c r="F19" i="1"/>
  <c r="G11" i="1"/>
  <c r="F11" i="1"/>
  <c r="G7" i="1"/>
  <c r="F7" i="1"/>
  <c r="G15" i="1"/>
  <c r="F15" i="1"/>
  <c r="G27" i="1"/>
  <c r="F27" i="1"/>
  <c r="D2" i="1"/>
  <c r="F12" i="1"/>
  <c r="F24" i="1"/>
  <c r="F32" i="1"/>
  <c r="F36" i="1"/>
  <c r="F48" i="1"/>
  <c r="F52" i="1"/>
  <c r="F64" i="1"/>
  <c r="F37" i="1" l="1"/>
  <c r="H37" i="1" s="1"/>
  <c r="F51" i="1"/>
  <c r="H51" i="1" s="1"/>
  <c r="G69" i="1"/>
  <c r="H69" i="1" s="1"/>
  <c r="F61" i="1"/>
  <c r="H61" i="1" s="1"/>
  <c r="F18" i="1"/>
  <c r="H18" i="1" s="1"/>
  <c r="H52" i="1"/>
  <c r="F46" i="1"/>
  <c r="H46" i="1" s="1"/>
  <c r="G47" i="1"/>
  <c r="H47" i="1" s="1"/>
  <c r="F59" i="1"/>
  <c r="H59" i="1" s="1"/>
  <c r="F38" i="1"/>
  <c r="H38" i="1" s="1"/>
  <c r="F26" i="1"/>
  <c r="H26" i="1" s="1"/>
  <c r="H64" i="1"/>
  <c r="F10" i="1"/>
  <c r="H10" i="1" s="1"/>
  <c r="F70" i="1"/>
  <c r="H70" i="1" s="1"/>
  <c r="F28" i="1"/>
  <c r="H28" i="1" s="1"/>
  <c r="H36" i="1"/>
  <c r="F16" i="1"/>
  <c r="H16" i="1" s="1"/>
  <c r="F25" i="1"/>
  <c r="H25" i="1" s="1"/>
  <c r="F45" i="1"/>
  <c r="H45" i="1" s="1"/>
  <c r="F49" i="1"/>
  <c r="H49" i="1" s="1"/>
  <c r="F68" i="1"/>
  <c r="H68" i="1" s="1"/>
  <c r="F58" i="1"/>
  <c r="H58" i="1" s="1"/>
  <c r="F60" i="1"/>
  <c r="H60" i="1" s="1"/>
  <c r="F43" i="1"/>
  <c r="H43" i="1" s="1"/>
  <c r="F4" i="1"/>
  <c r="H4" i="1" s="1"/>
  <c r="F53" i="1"/>
  <c r="H53" i="1" s="1"/>
  <c r="G33" i="1"/>
  <c r="H33" i="1" s="1"/>
  <c r="H7" i="1"/>
  <c r="F54" i="1"/>
  <c r="H54" i="1" s="1"/>
  <c r="F14" i="1"/>
  <c r="H14" i="1" s="1"/>
  <c r="F30" i="1"/>
  <c r="H30" i="1" s="1"/>
  <c r="H32" i="1"/>
  <c r="F72" i="1"/>
  <c r="H72" i="1" s="1"/>
  <c r="H23" i="1"/>
  <c r="F29" i="1"/>
  <c r="H29" i="1" s="1"/>
  <c r="F3" i="1"/>
  <c r="H3" i="1" s="1"/>
  <c r="F5" i="1"/>
  <c r="H5" i="1" s="1"/>
  <c r="H71" i="1"/>
  <c r="G35" i="1"/>
  <c r="H35" i="1" s="1"/>
  <c r="F56" i="1"/>
  <c r="H56" i="1" s="1"/>
  <c r="F67" i="1"/>
  <c r="H67" i="1" s="1"/>
  <c r="G65" i="1"/>
  <c r="H65" i="1" s="1"/>
  <c r="F20" i="1"/>
  <c r="H20" i="1" s="1"/>
  <c r="H48" i="1"/>
  <c r="F34" i="1"/>
  <c r="H34" i="1" s="1"/>
  <c r="F62" i="1"/>
  <c r="H62" i="1" s="1"/>
  <c r="G63" i="1"/>
  <c r="H63" i="1" s="1"/>
  <c r="G31" i="1"/>
  <c r="H31" i="1" s="1"/>
  <c r="H12" i="1"/>
  <c r="F22" i="1"/>
  <c r="H22" i="1" s="1"/>
  <c r="F42" i="1"/>
  <c r="H42" i="1" s="1"/>
  <c r="F44" i="1"/>
  <c r="H44" i="1" s="1"/>
  <c r="F17" i="1"/>
  <c r="H17" i="1" s="1"/>
  <c r="F40" i="1"/>
  <c r="H40" i="1" s="1"/>
  <c r="F8" i="1"/>
  <c r="H8" i="1" s="1"/>
  <c r="H27" i="1"/>
  <c r="F13" i="1"/>
  <c r="H13" i="1" s="1"/>
  <c r="H39" i="1"/>
  <c r="H11" i="1"/>
  <c r="G9" i="1"/>
  <c r="F9" i="1"/>
  <c r="G41" i="1"/>
  <c r="F41" i="1"/>
  <c r="G21" i="1"/>
  <c r="F21" i="1"/>
  <c r="H24" i="1"/>
  <c r="F66" i="1"/>
  <c r="H66" i="1" s="1"/>
  <c r="G57" i="1"/>
  <c r="F57" i="1"/>
  <c r="H55" i="1"/>
  <c r="F50" i="1"/>
  <c r="H50" i="1" s="1"/>
  <c r="F73" i="1"/>
  <c r="H73" i="1" s="1"/>
  <c r="F6" i="1"/>
  <c r="H6" i="1" s="1"/>
  <c r="H19" i="1"/>
  <c r="G2" i="1"/>
  <c r="F2" i="1"/>
  <c r="H15" i="1"/>
  <c r="H41" i="1" l="1"/>
  <c r="H21" i="1"/>
  <c r="H2" i="1"/>
  <c r="H57" i="1"/>
  <c r="H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Evenry projcts with Identifier in CRM = Opportunity ID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K1" authorId="0" shapeId="0" xr:uid="{00000000-0006-0000-0800-000001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For YTD Pipeline X/Y-projects add Pipeline X and Y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K1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Once a Month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1" authorId="0" shapeId="0" xr:uid="{00000000-0006-0000-0D00-000001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This is a valid field?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1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Green Ammonia and OI GM as sold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1" authorId="0" shapeId="0" xr:uid="{00000000-0006-0000-0F00-000001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This is a valid field?</t>
        </r>
      </text>
    </comment>
    <comment ref="J1" authorId="0" shapeId="0" xr:uid="{00000000-0006-0000-0F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Green Ammonia and OI GM as sold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1" authorId="0" shapeId="0" xr:uid="{00000000-0006-0000-14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Green Ammonia and OI GM as sold</t>
        </r>
      </text>
    </comment>
  </commentList>
</comments>
</file>

<file path=xl/sharedStrings.xml><?xml version="1.0" encoding="utf-8"?>
<sst xmlns="http://schemas.openxmlformats.org/spreadsheetml/2006/main" count="613" uniqueCount="189">
  <si>
    <t>Date</t>
  </si>
  <si>
    <t>Workstream</t>
  </si>
  <si>
    <t>Location</t>
  </si>
  <si>
    <t>Total Cost</t>
  </si>
  <si>
    <t>Total Hours</t>
  </si>
  <si>
    <t>Other internal costs</t>
  </si>
  <si>
    <t>External Costs</t>
  </si>
  <si>
    <t>Budget Cost</t>
  </si>
  <si>
    <t>Budget Hours</t>
  </si>
  <si>
    <t>WS1</t>
  </si>
  <si>
    <t>India</t>
  </si>
  <si>
    <t>WS2</t>
  </si>
  <si>
    <t>Australia</t>
  </si>
  <si>
    <t>Target Sales</t>
  </si>
  <si>
    <t>234 mn€</t>
  </si>
  <si>
    <t>Actual Sales</t>
  </si>
  <si>
    <t>Color</t>
  </si>
  <si>
    <t>Sales Goals 24/25</t>
  </si>
  <si>
    <t>GM%</t>
  </si>
  <si>
    <t>Order Intake 23/24</t>
  </si>
  <si>
    <t>OI YTD Actual</t>
  </si>
  <si>
    <t>OI GM%</t>
  </si>
  <si>
    <t>OI YTD Pipeline X</t>
  </si>
  <si>
    <t xml:space="preserve">OI GM% </t>
  </si>
  <si>
    <t>OI YTD Pipeline Y</t>
  </si>
  <si>
    <t>Grey</t>
  </si>
  <si>
    <t>120 mn</t>
  </si>
  <si>
    <t>40 mn</t>
  </si>
  <si>
    <t>150 mn</t>
  </si>
  <si>
    <t>Green</t>
  </si>
  <si>
    <t>110 mn</t>
  </si>
  <si>
    <t>41 mn</t>
  </si>
  <si>
    <t>151 mn</t>
  </si>
  <si>
    <t>Blue</t>
  </si>
  <si>
    <t>115 mn</t>
  </si>
  <si>
    <t>42 mn</t>
  </si>
  <si>
    <t>152 mn</t>
  </si>
  <si>
    <t>Projects</t>
  </si>
  <si>
    <t>OI Volume</t>
  </si>
  <si>
    <t>OI date</t>
  </si>
  <si>
    <t>go</t>
  </si>
  <si>
    <t xml:space="preserve">get </t>
  </si>
  <si>
    <t>Legal Entity</t>
  </si>
  <si>
    <t>Project 1</t>
  </si>
  <si>
    <t>Project 2</t>
  </si>
  <si>
    <t>Project 3</t>
  </si>
  <si>
    <t>Project 4</t>
  </si>
  <si>
    <t>Project 5</t>
  </si>
  <si>
    <t>Project 6</t>
  </si>
  <si>
    <t>Project 7</t>
  </si>
  <si>
    <t>Project 8</t>
  </si>
  <si>
    <t>Project 9</t>
  </si>
  <si>
    <t>Project 10</t>
  </si>
  <si>
    <t>Germany</t>
  </si>
  <si>
    <t>UES</t>
  </si>
  <si>
    <t>Thailand</t>
  </si>
  <si>
    <t>Volume</t>
  </si>
  <si>
    <t>GM in %</t>
  </si>
  <si>
    <t>GM</t>
  </si>
  <si>
    <t xml:space="preserve">TER </t>
  </si>
  <si>
    <t>TER in % of</t>
  </si>
  <si>
    <t>GM in %2</t>
  </si>
  <si>
    <t>Improvement 3%</t>
  </si>
  <si>
    <t>Measures DI 1-3</t>
  </si>
  <si>
    <t>Measures DI4</t>
  </si>
  <si>
    <t>DI5 Effect</t>
  </si>
  <si>
    <t>Target Total</t>
  </si>
  <si>
    <t>Target Ratio</t>
  </si>
  <si>
    <t>Actuals Total</t>
  </si>
  <si>
    <t>Actuals Ratio</t>
  </si>
  <si>
    <t>Estimation Total</t>
  </si>
  <si>
    <t>Estimation Ratio</t>
  </si>
  <si>
    <t>R&amp;D</t>
  </si>
  <si>
    <t>G&amp;A</t>
  </si>
  <si>
    <t>Sales force</t>
  </si>
  <si>
    <t>Overheads</t>
  </si>
  <si>
    <t>Product Group</t>
  </si>
  <si>
    <t>Product Type (Grey, Blue, Green)</t>
  </si>
  <si>
    <t>Revenue Covered by Backlog</t>
  </si>
  <si>
    <t>OI YTD 22/23</t>
  </si>
  <si>
    <t>OI YTD GM%</t>
  </si>
  <si>
    <t>OI Estimate 22/23</t>
  </si>
  <si>
    <t>OI Estimate GM%</t>
  </si>
  <si>
    <t>OI Budget 23/24</t>
  </si>
  <si>
    <t>OI Budget GM%</t>
  </si>
  <si>
    <t>OI volume</t>
  </si>
  <si>
    <t>Target GM%</t>
  </si>
  <si>
    <t>YTD 22/23</t>
  </si>
  <si>
    <t>YTD GM%</t>
  </si>
  <si>
    <t>Pipeline X</t>
  </si>
  <si>
    <t>Pipeline X GM%</t>
  </si>
  <si>
    <t>Pipeline Y</t>
  </si>
  <si>
    <t>Pipeline Y GM%</t>
  </si>
  <si>
    <t>Product Group 1</t>
  </si>
  <si>
    <t>Product Group 2</t>
  </si>
  <si>
    <t>Product Group 3</t>
  </si>
  <si>
    <t>Product Group 4</t>
  </si>
  <si>
    <t>Product Group 5</t>
  </si>
  <si>
    <t>Product Group 6</t>
  </si>
  <si>
    <t>Product Group 7</t>
  </si>
  <si>
    <t>Product Group 8</t>
  </si>
  <si>
    <t>Product Group 9</t>
  </si>
  <si>
    <t>Product Group 10</t>
  </si>
  <si>
    <t>target 24/25</t>
  </si>
  <si>
    <t>OU</t>
  </si>
  <si>
    <t>YTD Proposal costs</t>
  </si>
  <si>
    <t>YTD Order Intake</t>
  </si>
  <si>
    <t>YTD Ratio</t>
  </si>
  <si>
    <t>Total Estimation Proposal costs</t>
  </si>
  <si>
    <t>Total Estimation Order Intake</t>
  </si>
  <si>
    <t>Total Estimation Ratio</t>
  </si>
  <si>
    <t>OU FER</t>
  </si>
  <si>
    <t>OU PP</t>
  </si>
  <si>
    <t>OU CP</t>
  </si>
  <si>
    <t>OU PT</t>
  </si>
  <si>
    <t>OU HPT</t>
  </si>
  <si>
    <t>Order Intake 22/23 actual</t>
  </si>
  <si>
    <t>OPL23</t>
  </si>
  <si>
    <t>OPL23 GM%</t>
  </si>
  <si>
    <t>Sales 21/22</t>
  </si>
  <si>
    <t>Actual 22/23</t>
  </si>
  <si>
    <t>Orderbacklog</t>
  </si>
  <si>
    <t>Pipeline X/Y</t>
  </si>
  <si>
    <t>Ramp-down Tech 1</t>
  </si>
  <si>
    <t>Ramp-down Tech 2</t>
  </si>
  <si>
    <t>Ramp-down Tech 3</t>
  </si>
  <si>
    <t>Bridging Tech 4</t>
  </si>
  <si>
    <t>Bridging Tech 5</t>
  </si>
  <si>
    <t>Cost account</t>
  </si>
  <si>
    <t>Plan</t>
  </si>
  <si>
    <t>Actual</t>
  </si>
  <si>
    <t>Estimate</t>
  </si>
  <si>
    <t>Cost account 1</t>
  </si>
  <si>
    <t>Cost account 2</t>
  </si>
  <si>
    <t>Cost account 3</t>
  </si>
  <si>
    <t>Cost account 4</t>
  </si>
  <si>
    <t>Product Type</t>
  </si>
  <si>
    <t>Go</t>
  </si>
  <si>
    <t>Get</t>
  </si>
  <si>
    <t>Import Date</t>
  </si>
  <si>
    <t>X</t>
  </si>
  <si>
    <t>Y</t>
  </si>
  <si>
    <t>Green Ammonia</t>
  </si>
  <si>
    <t>Project 11</t>
  </si>
  <si>
    <t>Project 12</t>
  </si>
  <si>
    <t>Project 13</t>
  </si>
  <si>
    <t>Project 14</t>
  </si>
  <si>
    <t>Project 15</t>
  </si>
  <si>
    <t>Project 16</t>
  </si>
  <si>
    <t>Project 17</t>
  </si>
  <si>
    <t>Singapore</t>
  </si>
  <si>
    <t>Project 18</t>
  </si>
  <si>
    <t>Project 19</t>
  </si>
  <si>
    <t>Project 20</t>
  </si>
  <si>
    <t>Project 21</t>
  </si>
  <si>
    <t>Project 22</t>
  </si>
  <si>
    <t>Project 23</t>
  </si>
  <si>
    <t>Project 24</t>
  </si>
  <si>
    <t>Project 25</t>
  </si>
  <si>
    <t>Project 26</t>
  </si>
  <si>
    <t>Revenue target 24/25</t>
  </si>
  <si>
    <t>Revenue target GM%</t>
  </si>
  <si>
    <t>Order Intake Target volume</t>
  </si>
  <si>
    <t>Order Intake Target GM%</t>
  </si>
  <si>
    <t>OPL23 OI volume</t>
  </si>
  <si>
    <t>OPL23 OI GM</t>
  </si>
  <si>
    <t>Product Group 11</t>
  </si>
  <si>
    <t>Product Group 12</t>
  </si>
  <si>
    <t>Product Group 13</t>
  </si>
  <si>
    <t>Product Group 14</t>
  </si>
  <si>
    <t>Product Group 15</t>
  </si>
  <si>
    <t>Product Group 16</t>
  </si>
  <si>
    <t>Product Group 17</t>
  </si>
  <si>
    <t>Column1</t>
  </si>
  <si>
    <t>Estimate 22/23</t>
  </si>
  <si>
    <t>Estimate GM%</t>
  </si>
  <si>
    <t>Budget 23/24</t>
  </si>
  <si>
    <t>Budget GM%</t>
  </si>
  <si>
    <t>Covered by Backlog</t>
  </si>
  <si>
    <t>Target ratio</t>
  </si>
  <si>
    <t>Actuals</t>
  </si>
  <si>
    <t>Estimation</t>
  </si>
  <si>
    <t>Billable Ratio</t>
  </si>
  <si>
    <t>User_id</t>
  </si>
  <si>
    <t>Page</t>
  </si>
  <si>
    <t>hzurunge@parkar.in</t>
  </si>
  <si>
    <t>Global Financial Overview</t>
  </si>
  <si>
    <t>mkenge@parkar.in</t>
  </si>
  <si>
    <t xml:space="preserve"> Sales Strategy &amp; Proposal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</si>
</sst>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/>
      <name val="TKTypeMedium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color theme="0"/>
      <name val="TKTypeMedium"/>
      <family val="2"/>
    </font>
    <font>
      <u/>
      <sz val="11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theme="1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theme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theme="1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0" fillId="0" borderId="0" applyNumberFormat="0" applyFill="0" applyBorder="0" applyAlignment="0" applyProtection="0"/>
  </cellStyleXfs>
  <cellXfs count="53">
    <xf numFmtId="0" fontId="0" fillId="0" borderId="0" xfId="0"/>
    <xf numFmtId="17" fontId="0" fillId="0" borderId="0" xfId="0" applyNumberFormat="1"/>
    <xf numFmtId="0" fontId="3" fillId="0" borderId="0" xfId="0" applyFont="1"/>
    <xf numFmtId="0" fontId="4" fillId="2" borderId="1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0" fillId="3" borderId="0" xfId="0" applyFill="1"/>
    <xf numFmtId="14" fontId="0" fillId="3" borderId="0" xfId="0" applyNumberFormat="1" applyFill="1"/>
    <xf numFmtId="9" fontId="0" fillId="3" borderId="0" xfId="1" applyFont="1" applyFill="1"/>
    <xf numFmtId="0" fontId="0" fillId="3" borderId="3" xfId="0" applyFill="1" applyBorder="1"/>
    <xf numFmtId="14" fontId="0" fillId="3" borderId="3" xfId="0" applyNumberFormat="1" applyFill="1" applyBorder="1"/>
    <xf numFmtId="9" fontId="0" fillId="3" borderId="3" xfId="1" applyFont="1" applyFill="1" applyBorder="1"/>
    <xf numFmtId="0" fontId="4" fillId="2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horizontal="left" vertical="center" wrapText="1"/>
    </xf>
    <xf numFmtId="0" fontId="4" fillId="2" borderId="6" xfId="0" applyFont="1" applyFill="1" applyBorder="1" applyAlignment="1">
      <alignment horizontal="left" vertical="center" wrapText="1"/>
    </xf>
    <xf numFmtId="0" fontId="4" fillId="2" borderId="7" xfId="0" applyFont="1" applyFill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9" fontId="4" fillId="2" borderId="2" xfId="1" applyFont="1" applyFill="1" applyBorder="1" applyAlignment="1">
      <alignment horizontal="center" vertical="center" wrapText="1"/>
    </xf>
    <xf numFmtId="0" fontId="2" fillId="5" borderId="9" xfId="0" applyFont="1" applyFill="1" applyBorder="1" applyAlignment="1">
      <alignment vertical="center" wrapText="1"/>
    </xf>
    <xf numFmtId="9" fontId="2" fillId="5" borderId="9" xfId="1" applyFont="1" applyFill="1" applyBorder="1" applyAlignment="1">
      <alignment vertical="center" wrapText="1"/>
    </xf>
    <xf numFmtId="0" fontId="0" fillId="0" borderId="10" xfId="0" applyBorder="1" applyAlignment="1">
      <alignment wrapText="1"/>
    </xf>
    <xf numFmtId="0" fontId="0" fillId="6" borderId="10" xfId="0" applyFill="1" applyBorder="1" applyAlignment="1">
      <alignment wrapText="1"/>
    </xf>
    <xf numFmtId="0" fontId="0" fillId="0" borderId="0" xfId="0" applyAlignment="1">
      <alignment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9" fontId="2" fillId="3" borderId="9" xfId="1" applyFont="1" applyFill="1" applyBorder="1" applyAlignment="1">
      <alignment vertical="center" wrapText="1"/>
    </xf>
    <xf numFmtId="9" fontId="2" fillId="3" borderId="12" xfId="1" applyFont="1" applyFill="1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164" fontId="4" fillId="2" borderId="2" xfId="1" applyNumberFormat="1" applyFont="1" applyFill="1" applyBorder="1" applyAlignment="1">
      <alignment horizontal="left" vertical="center" wrapText="1"/>
    </xf>
    <xf numFmtId="0" fontId="2" fillId="5" borderId="0" xfId="0" applyFont="1" applyFill="1" applyAlignment="1">
      <alignment vertical="center" wrapText="1"/>
    </xf>
    <xf numFmtId="164" fontId="0" fillId="7" borderId="0" xfId="1" applyNumberFormat="1" applyFont="1" applyFill="1" applyBorder="1" applyAlignment="1">
      <alignment horizontal="center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left" vertical="center" wrapText="1"/>
    </xf>
    <xf numFmtId="0" fontId="4" fillId="2" borderId="15" xfId="0" applyFont="1" applyFill="1" applyBorder="1" applyAlignment="1">
      <alignment horizontal="left" vertical="center" wrapText="1" indent="1"/>
    </xf>
    <xf numFmtId="0" fontId="4" fillId="2" borderId="15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14" fontId="0" fillId="0" borderId="0" xfId="0" applyNumberFormat="1" applyAlignment="1">
      <alignment wrapText="1"/>
    </xf>
    <xf numFmtId="0" fontId="4" fillId="2" borderId="16" xfId="0" applyFont="1" applyFill="1" applyBorder="1" applyAlignment="1">
      <alignment horizontal="center" vertical="center" wrapText="1"/>
    </xf>
    <xf numFmtId="0" fontId="4" fillId="8" borderId="10" xfId="0" applyFont="1" applyFill="1" applyBorder="1" applyAlignment="1">
      <alignment horizontal="left" vertical="center" wrapText="1"/>
    </xf>
    <xf numFmtId="0" fontId="2" fillId="5" borderId="17" xfId="0" applyFont="1" applyFill="1" applyBorder="1" applyAlignment="1">
      <alignment vertical="center" wrapText="1"/>
    </xf>
    <xf numFmtId="0" fontId="9" fillId="2" borderId="2" xfId="0" applyFont="1" applyFill="1" applyBorder="1" applyAlignment="1">
      <alignment horizontal="left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 wrapText="1"/>
    </xf>
    <xf numFmtId="0" fontId="9" fillId="2" borderId="18" xfId="0" applyFont="1" applyFill="1" applyBorder="1" applyAlignment="1">
      <alignment horizontal="center" vertical="center" wrapText="1"/>
    </xf>
    <xf numFmtId="0" fontId="2" fillId="5" borderId="19" xfId="0" applyFont="1" applyFill="1" applyBorder="1" applyAlignment="1">
      <alignment vertical="center" wrapText="1"/>
    </xf>
    <xf numFmtId="0" fontId="2" fillId="3" borderId="19" xfId="0" applyFont="1" applyFill="1" applyBorder="1" applyAlignment="1">
      <alignment vertical="center" wrapText="1"/>
    </xf>
    <xf numFmtId="0" fontId="2" fillId="5" borderId="18" xfId="0" applyFont="1" applyFill="1" applyBorder="1" applyAlignment="1">
      <alignment vertical="center" wrapText="1"/>
    </xf>
    <xf numFmtId="0" fontId="4" fillId="2" borderId="13" xfId="0" applyFont="1" applyFill="1" applyBorder="1" applyAlignment="1">
      <alignment horizontal="left" vertical="center" wrapText="1"/>
    </xf>
    <xf numFmtId="9" fontId="4" fillId="4" borderId="2" xfId="1" applyFont="1" applyFill="1" applyBorder="1" applyAlignment="1">
      <alignment horizontal="center" vertical="center" wrapText="1"/>
    </xf>
    <xf numFmtId="9" fontId="4" fillId="4" borderId="13" xfId="1" applyFont="1" applyFill="1" applyBorder="1" applyAlignment="1">
      <alignment horizontal="center" vertical="center" wrapText="1"/>
    </xf>
    <xf numFmtId="0" fontId="10" fillId="0" borderId="0" xfId="2"/>
  </cellXfs>
  <cellStyles count="3">
    <cellStyle name="Hyperlink" xfId="2" builtinId="8"/>
    <cellStyle name="Normal" xfId="0" builtinId="0"/>
    <cellStyle name="Percent" xfId="1" builtinId="5"/>
  </cellStyles>
  <dxfs count="6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KTypeMedium"/>
        <scheme val="none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KTypeMedium"/>
        <scheme val="none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KTypeMedium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KTypeMedium"/>
        <scheme val="none"/>
      </font>
      <fill>
        <patternFill patternType="solid">
          <fgColor indexed="64"/>
          <bgColor theme="9" tint="0.79998168889431442"/>
        </patternFill>
      </fill>
      <alignment horizontal="left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left style="medium">
          <color indexed="64"/>
        </left>
        <right style="thin">
          <color indexed="64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KTypeMedium"/>
        <scheme val="none"/>
      </font>
      <fill>
        <patternFill patternType="solid">
          <fgColor indexed="64"/>
          <bgColor theme="9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5" tint="0.5999938962981048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5" tint="0.5999938962981048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5" tint="0.5999938962981048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5" tint="0.5999938962981048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KTypeMedium"/>
        <scheme val="none"/>
      </font>
      <fill>
        <patternFill patternType="solid">
          <fgColor indexed="64"/>
          <bgColor theme="5" tint="0.5999938962981048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KTypeMedium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KTypeMedium"/>
        <scheme val="none"/>
      </font>
      <fill>
        <patternFill patternType="solid">
          <fgColor indexed="64"/>
          <bgColor theme="9" tint="0.79998168889431442"/>
        </patternFill>
      </fill>
      <alignment horizontal="left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left style="medium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KTypeMedium"/>
        <scheme val="none"/>
      </font>
      <fill>
        <patternFill patternType="solid">
          <fgColor indexed="64"/>
          <bgColor theme="9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KTypeMedium"/>
        <scheme val="none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KTypeMedium"/>
        <scheme val="none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KTypeMedium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KTypeMedium"/>
        <scheme val="none"/>
      </font>
      <fill>
        <patternFill patternType="solid">
          <fgColor indexed="64"/>
          <bgColor theme="9" tint="0.79998168889431442"/>
        </patternFill>
      </fill>
      <alignment horizontal="left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KTypeMedium"/>
        <scheme val="none"/>
      </font>
      <fill>
        <patternFill patternType="solid">
          <fgColor indexed="64"/>
          <bgColor theme="9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6" tint="0.3999755851924192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5" tint="0.5999938962981048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5" tint="0.5999938962981048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5" tint="0.59999389629810485"/>
        </patternFill>
      </fill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KTypeMedium"/>
        <scheme val="none"/>
      </font>
      <fill>
        <patternFill patternType="solid">
          <fgColor indexed="64"/>
          <bgColor theme="9" tint="0.79998168889431442"/>
        </patternFill>
      </fill>
      <alignment horizontal="left" vertical="center" textRotation="0" wrapText="1" indent="1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KTypeMedium"/>
        <scheme val="none"/>
      </font>
      <fill>
        <patternFill patternType="solid">
          <fgColor indexed="64"/>
          <bgColor theme="9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KTypeMedium"/>
        <scheme val="none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KTypeMedium"/>
        <scheme val="none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KTypeMedium"/>
        <scheme val="none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KTypeMedium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KTypeMedium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KTypeMedium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KTypeMedium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KTypeMedium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KTypeMedium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KTypeMedium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KTypeMedium"/>
        <scheme val="none"/>
      </font>
      <fill>
        <patternFill patternType="solid">
          <fgColor indexed="64"/>
          <bgColor theme="9" tint="0.79998168889431442"/>
        </patternFill>
      </fill>
      <alignment horizontal="left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KTypeMedium"/>
        <scheme val="none"/>
      </font>
      <fill>
        <patternFill patternType="solid">
          <fgColor indexed="64"/>
          <bgColor theme="9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%"/>
      <fill>
        <patternFill patternType="solid">
          <fgColor indexed="64"/>
          <bgColor theme="8" tint="0.5999938962981048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5" tint="0.59999389629810485"/>
        </patternFill>
      </fill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5" tint="0.5999938962981048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%"/>
      <fill>
        <patternFill patternType="solid">
          <fgColor indexed="64"/>
          <bgColor theme="8" tint="0.5999938962981048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5" tint="0.59999389629810485"/>
        </patternFill>
      </fill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5" tint="0.5999938962981048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KTypeMedium"/>
        <scheme val="none"/>
      </font>
      <numFmt numFmtId="164" formatCode="0.0%"/>
      <fill>
        <patternFill patternType="solid">
          <fgColor indexed="64"/>
          <bgColor theme="9" tint="0.79998168889431442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KTypeMedium"/>
        <scheme val="none"/>
      </font>
      <fill>
        <patternFill patternType="solid">
          <fgColor indexed="64"/>
          <bgColor theme="9" tint="0.79998168889431442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KTypeMedium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5" tint="0.5999938962981048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5" tint="0.5999938962981048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5" tint="0.5999938962981048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5" tint="0.5999938962981048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KTypeMedium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KTypeMedium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KTypeMedium"/>
        <scheme val="none"/>
      </font>
      <fill>
        <patternFill patternType="solid">
          <fgColor indexed="64"/>
          <bgColor theme="9" tint="0.79998168889431442"/>
        </patternFill>
      </fill>
      <alignment horizontal="left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left style="medium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KTypeMedium"/>
        <scheme val="none"/>
      </font>
      <fill>
        <patternFill patternType="solid">
          <fgColor indexed="64"/>
          <bgColor theme="9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1018" displayName="Table1018" ref="A1:G4" totalsRowShown="0" headerRowDxfId="60" tableBorderDxfId="59">
  <autoFilter ref="A1:G4" xr:uid="{00000000-0009-0000-0100-000002000000}"/>
  <tableColumns count="7">
    <tableColumn id="1" xr3:uid="{00000000-0010-0000-0000-000001000000}" name="Overheads" dataDxfId="58"/>
    <tableColumn id="2" xr3:uid="{00000000-0010-0000-0000-000002000000}" name="Target Total" dataDxfId="57"/>
    <tableColumn id="3" xr3:uid="{00000000-0010-0000-0000-000003000000}" name="Target Ratio" dataDxfId="56"/>
    <tableColumn id="4" xr3:uid="{00000000-0010-0000-0000-000004000000}" name="Actuals Total" dataDxfId="55"/>
    <tableColumn id="5" xr3:uid="{00000000-0010-0000-0000-000005000000}" name="Actuals Ratio" dataDxfId="54"/>
    <tableColumn id="6" xr3:uid="{00000000-0010-0000-0000-000006000000}" name="Estimation Total" dataDxfId="53"/>
    <tableColumn id="7" xr3:uid="{00000000-0010-0000-0000-000007000000}" name="Estimation Ratio" dataDxfId="52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219" displayName="Table219" ref="A1:H6" totalsRowShown="0" headerRowDxfId="51">
  <autoFilter ref="A1:H6" xr:uid="{00000000-0009-0000-0100-000003000000}"/>
  <tableColumns count="8">
    <tableColumn id="1" xr3:uid="{00000000-0010-0000-0100-000001000000}" name="OU" dataDxfId="50"/>
    <tableColumn id="2" xr3:uid="{00000000-0010-0000-0100-000002000000}" name="Target Ratio" dataDxfId="49"/>
    <tableColumn id="3" xr3:uid="{00000000-0010-0000-0100-000003000000}" name="YTD Proposal costs" dataDxfId="48">
      <calculatedColumnFormula>RANDBETWEEN(100,1000)</calculatedColumnFormula>
    </tableColumn>
    <tableColumn id="4" xr3:uid="{00000000-0010-0000-0100-000004000000}" name="YTD Order Intake" dataDxfId="47">
      <calculatedColumnFormula>RANDBETWEEN(100,1000)</calculatedColumnFormula>
    </tableColumn>
    <tableColumn id="5" xr3:uid="{00000000-0010-0000-0100-000005000000}" name="YTD Ratio" dataDxfId="46">
      <calculatedColumnFormula>C2/D2</calculatedColumnFormula>
    </tableColumn>
    <tableColumn id="6" xr3:uid="{00000000-0010-0000-0100-000006000000}" name="Total Estimation Proposal costs" dataDxfId="45">
      <calculatedColumnFormula>RANDBETWEEN(100,1000)</calculatedColumnFormula>
    </tableColumn>
    <tableColumn id="7" xr3:uid="{00000000-0010-0000-0100-000007000000}" name="Total Estimation Order Intake" dataDxfId="44">
      <calculatedColumnFormula>RANDBETWEEN(100,1000)</calculatedColumnFormula>
    </tableColumn>
    <tableColumn id="8" xr3:uid="{00000000-0010-0000-0100-000008000000}" name="Total Estimation Ratio" dataDxfId="43">
      <calculatedColumnFormula>F2/G2</calculatedColumnFormula>
    </tableColumn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Table717" displayName="Table717" ref="A1:K6" totalsRowShown="0" headerRowDxfId="42" tableBorderDxfId="41">
  <autoFilter ref="A1:K6" xr:uid="{00000000-0009-0000-0100-000001000000}"/>
  <tableColumns count="11">
    <tableColumn id="1" xr3:uid="{00000000-0010-0000-0200-000001000000}" name="Projects" dataDxfId="40"/>
    <tableColumn id="2" xr3:uid="{00000000-0010-0000-0200-000002000000}" name="Volume" dataDxfId="39"/>
    <tableColumn id="3" xr3:uid="{00000000-0010-0000-0200-000003000000}" name="GM in %" dataDxfId="38"/>
    <tableColumn id="4" xr3:uid="{00000000-0010-0000-0200-000004000000}" name="GM" dataDxfId="37"/>
    <tableColumn id="5" xr3:uid="{00000000-0010-0000-0200-000005000000}" name="TER " dataDxfId="36"/>
    <tableColumn id="6" xr3:uid="{00000000-0010-0000-0200-000006000000}" name="TER in % of" dataDxfId="35"/>
    <tableColumn id="7" xr3:uid="{00000000-0010-0000-0200-000007000000}" name="GM in %2" dataDxfId="34"/>
    <tableColumn id="8" xr3:uid="{00000000-0010-0000-0200-000008000000}" name="Improvement 3%" dataDxfId="33"/>
    <tableColumn id="9" xr3:uid="{00000000-0010-0000-0200-000009000000}" name="Measures DI 1-3" dataDxfId="32">
      <calculatedColumnFormula>RANDBETWEEN(10, 400)</calculatedColumnFormula>
    </tableColumn>
    <tableColumn id="10" xr3:uid="{00000000-0010-0000-0200-00000A000000}" name="Measures DI4" dataDxfId="31">
      <calculatedColumnFormula>RANDBETWEEN(10, 400)</calculatedColumnFormula>
    </tableColumn>
    <tableColumn id="11" xr3:uid="{00000000-0010-0000-0200-00000B000000}" name="DI5 Effect" dataDxfId="30">
      <calculatedColumnFormula>RANDBETWEEN(10, 400)</calculatedColumnFormula>
    </tableColumn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920" displayName="Table920" ref="A1:E6" totalsRowShown="0" headerRowDxfId="29" tableBorderDxfId="28">
  <autoFilter ref="A1:E6" xr:uid="{00000000-0009-0000-0100-000004000000}"/>
  <tableColumns count="5">
    <tableColumn id="1" xr3:uid="{00000000-0010-0000-0300-000001000000}" name="Product Group" dataDxfId="27"/>
    <tableColumn id="2" xr3:uid="{00000000-0010-0000-0300-000002000000}" name="Sales 21/22" dataDxfId="26"/>
    <tableColumn id="3" xr3:uid="{00000000-0010-0000-0300-000003000000}" name="Actual 22/23" dataDxfId="25"/>
    <tableColumn id="4" xr3:uid="{00000000-0010-0000-0300-000004000000}" name="Orderbacklog" dataDxfId="24"/>
    <tableColumn id="5" xr3:uid="{00000000-0010-0000-0300-000005000000}" name="Pipeline X/Y" dataDxfId="23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821" displayName="Table821" ref="A1:D5" totalsRowShown="0" headerRowDxfId="22" headerRowBorderDxfId="21" tableBorderDxfId="20" totalsRowBorderDxfId="19">
  <autoFilter ref="A1:D5" xr:uid="{00000000-0009-0000-0100-000005000000}"/>
  <tableColumns count="4">
    <tableColumn id="1" xr3:uid="{00000000-0010-0000-0400-000001000000}" name="Cost account" dataDxfId="18"/>
    <tableColumn id="2" xr3:uid="{00000000-0010-0000-0400-000002000000}" name="Plan" dataDxfId="17"/>
    <tableColumn id="3" xr3:uid="{00000000-0010-0000-0400-000003000000}" name="Actual" dataDxfId="16"/>
    <tableColumn id="4" xr3:uid="{00000000-0010-0000-0400-000004000000}" name="Estimate" dataDxfId="15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10187" displayName="Table10187" ref="A1:G4" totalsRowShown="0" headerRowDxfId="14" tableBorderDxfId="13">
  <autoFilter ref="A1:G4" xr:uid="{00000000-0009-0000-0100-000006000000}"/>
  <tableColumns count="7">
    <tableColumn id="1" xr3:uid="{00000000-0010-0000-0500-000001000000}" name="Column1" dataDxfId="12"/>
    <tableColumn id="2" xr3:uid="{00000000-0010-0000-0500-000002000000}" name="Target Total" dataDxfId="11"/>
    <tableColumn id="3" xr3:uid="{00000000-0010-0000-0500-000003000000}" name="Target Ratio" dataDxfId="10">
      <calculatedColumnFormula>RANDBETWEEN(2,10)</calculatedColumnFormula>
    </tableColumn>
    <tableColumn id="4" xr3:uid="{00000000-0010-0000-0500-000004000000}" name="Actuals Total" dataDxfId="9"/>
    <tableColumn id="5" xr3:uid="{00000000-0010-0000-0500-000005000000}" name="Actuals Ratio" dataDxfId="8">
      <calculatedColumnFormula>RANDBETWEEN(2,10)</calculatedColumnFormula>
    </tableColumn>
    <tableColumn id="6" xr3:uid="{00000000-0010-0000-0500-000006000000}" name="Estimation Total" dataDxfId="7"/>
    <tableColumn id="7" xr3:uid="{00000000-0010-0000-0500-000007000000}" name="Estimation Ratio" dataDxfId="6">
      <calculatedColumnFormula>RANDBETWEEN(2,10)</calculatedColumnFormula>
    </tableColumn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1122" displayName="Table1122" ref="A1:D2" totalsRowShown="0" headerRowDxfId="5" tableBorderDxfId="4">
  <autoFilter ref="A1:D2" xr:uid="{00000000-0009-0000-0100-000007000000}"/>
  <tableColumns count="4">
    <tableColumn id="1" xr3:uid="{00000000-0010-0000-0600-000001000000}" name="Column1" dataDxfId="3"/>
    <tableColumn id="2" xr3:uid="{00000000-0010-0000-0600-000002000000}" name="Target ratio" dataDxfId="2"/>
    <tableColumn id="3" xr3:uid="{00000000-0010-0000-0600-000003000000}" name="Actuals" dataDxfId="1"/>
    <tableColumn id="4" xr3:uid="{00000000-0010-0000-0600-000004000000}" name="Estimation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hyperlink" Target="mailto:hzurunge@parkar.in" TargetMode="External"/><Relationship Id="rId1" Type="http://schemas.openxmlformats.org/officeDocument/2006/relationships/hyperlink" Target="mailto:mkenge@parkar.in" TargetMode="Externa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3"/>
  <sheetViews>
    <sheetView workbookViewId="0">
      <selection activeCell="I1" sqref="I1"/>
    </sheetView>
  </sheetViews>
  <sheetFormatPr defaultRowHeight="14.5"/>
  <cols>
    <col min="1" max="1" width="11.453125" customWidth="1"/>
    <col min="2" max="2" width="11.1796875" bestFit="1" customWidth="1"/>
    <col min="3" max="3" width="11.1796875" customWidth="1"/>
    <col min="4" max="5" width="16.6328125" customWidth="1"/>
    <col min="6" max="6" width="19.08984375" customWidth="1"/>
    <col min="7" max="7" width="14" customWidth="1"/>
    <col min="8" max="8" width="14.90625" customWidth="1"/>
    <col min="9" max="9" width="13.9062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>
        <v>44927</v>
      </c>
      <c r="B2" s="1" t="s">
        <v>9</v>
      </c>
      <c r="C2" s="1" t="s">
        <v>10</v>
      </c>
      <c r="D2">
        <f ca="1">E2*100</f>
        <v>21500</v>
      </c>
      <c r="E2">
        <f ca="1">RANDBETWEEN(0,300)</f>
        <v>215</v>
      </c>
      <c r="F2">
        <f ca="1">D2*RANDBETWEEN(10,30)/100</f>
        <v>3870</v>
      </c>
      <c r="G2">
        <f ca="1">D2*RANDBETWEEN(10,30)/100</f>
        <v>3010</v>
      </c>
      <c r="H2">
        <f ca="1">I2*100+F2+G2</f>
        <v>28780</v>
      </c>
      <c r="I2">
        <f ca="1">RANDBETWEEN(-30,30)+E2</f>
        <v>219</v>
      </c>
    </row>
    <row r="3" spans="1:9">
      <c r="A3" s="1">
        <v>44958</v>
      </c>
      <c r="B3" s="1" t="s">
        <v>9</v>
      </c>
      <c r="C3" s="1" t="s">
        <v>10</v>
      </c>
      <c r="D3">
        <f t="shared" ref="D3:D25" ca="1" si="0">E3*100</f>
        <v>27100</v>
      </c>
      <c r="E3">
        <f t="shared" ref="E3:E66" ca="1" si="1">RANDBETWEEN(0,300)</f>
        <v>271</v>
      </c>
      <c r="F3">
        <f t="shared" ref="F3:F66" ca="1" si="2">D3*RANDBETWEEN(10,30)/100</f>
        <v>7317</v>
      </c>
      <c r="G3">
        <f t="shared" ref="G3:G66" ca="1" si="3">D3*RANDBETWEEN(10,30)/100</f>
        <v>7588</v>
      </c>
      <c r="H3">
        <f t="shared" ref="H3:H66" ca="1" si="4">I3*100+F3+G3</f>
        <v>40505</v>
      </c>
      <c r="I3">
        <f t="shared" ref="I3:I66" ca="1" si="5">RANDBETWEEN(-30,30)+E3</f>
        <v>256</v>
      </c>
    </row>
    <row r="4" spans="1:9">
      <c r="A4" s="1">
        <v>44986</v>
      </c>
      <c r="B4" s="1" t="s">
        <v>9</v>
      </c>
      <c r="C4" s="1" t="s">
        <v>10</v>
      </c>
      <c r="D4">
        <f t="shared" ca="1" si="0"/>
        <v>5900</v>
      </c>
      <c r="E4">
        <f t="shared" ca="1" si="1"/>
        <v>59</v>
      </c>
      <c r="F4">
        <f t="shared" ca="1" si="2"/>
        <v>1770</v>
      </c>
      <c r="G4">
        <f t="shared" ca="1" si="3"/>
        <v>944</v>
      </c>
      <c r="H4">
        <f t="shared" ca="1" si="4"/>
        <v>10414</v>
      </c>
      <c r="I4">
        <f t="shared" ca="1" si="5"/>
        <v>77</v>
      </c>
    </row>
    <row r="5" spans="1:9">
      <c r="A5" s="1">
        <v>45017</v>
      </c>
      <c r="B5" s="1" t="s">
        <v>9</v>
      </c>
      <c r="C5" s="1" t="s">
        <v>10</v>
      </c>
      <c r="D5">
        <f t="shared" ca="1" si="0"/>
        <v>23800</v>
      </c>
      <c r="E5">
        <f t="shared" ca="1" si="1"/>
        <v>238</v>
      </c>
      <c r="F5">
        <f t="shared" ca="1" si="2"/>
        <v>3808</v>
      </c>
      <c r="G5">
        <f t="shared" ca="1" si="3"/>
        <v>3808</v>
      </c>
      <c r="H5">
        <f t="shared" ca="1" si="4"/>
        <v>32916</v>
      </c>
      <c r="I5">
        <f t="shared" ca="1" si="5"/>
        <v>253</v>
      </c>
    </row>
    <row r="6" spans="1:9">
      <c r="A6" s="1">
        <v>45047</v>
      </c>
      <c r="B6" s="1" t="s">
        <v>9</v>
      </c>
      <c r="C6" s="1" t="s">
        <v>10</v>
      </c>
      <c r="D6">
        <f t="shared" ca="1" si="0"/>
        <v>21200</v>
      </c>
      <c r="E6">
        <f t="shared" ca="1" si="1"/>
        <v>212</v>
      </c>
      <c r="F6">
        <f t="shared" ca="1" si="2"/>
        <v>3392</v>
      </c>
      <c r="G6">
        <f t="shared" ca="1" si="3"/>
        <v>5088</v>
      </c>
      <c r="H6">
        <f t="shared" ca="1" si="4"/>
        <v>26680</v>
      </c>
      <c r="I6">
        <f t="shared" ca="1" si="5"/>
        <v>182</v>
      </c>
    </row>
    <row r="7" spans="1:9">
      <c r="A7" s="1">
        <v>45078</v>
      </c>
      <c r="B7" s="1" t="s">
        <v>9</v>
      </c>
      <c r="C7" s="1" t="s">
        <v>10</v>
      </c>
      <c r="D7">
        <f t="shared" ca="1" si="0"/>
        <v>20400</v>
      </c>
      <c r="E7">
        <f t="shared" ca="1" si="1"/>
        <v>204</v>
      </c>
      <c r="F7">
        <f t="shared" ca="1" si="2"/>
        <v>3264</v>
      </c>
      <c r="G7">
        <f t="shared" ca="1" si="3"/>
        <v>2652</v>
      </c>
      <c r="H7">
        <f t="shared" ca="1" si="4"/>
        <v>24716</v>
      </c>
      <c r="I7">
        <f t="shared" ca="1" si="5"/>
        <v>188</v>
      </c>
    </row>
    <row r="8" spans="1:9">
      <c r="A8" s="1">
        <v>45108</v>
      </c>
      <c r="B8" s="1" t="s">
        <v>9</v>
      </c>
      <c r="C8" s="1" t="s">
        <v>10</v>
      </c>
      <c r="D8">
        <f t="shared" ca="1" si="0"/>
        <v>19800</v>
      </c>
      <c r="E8">
        <f t="shared" ca="1" si="1"/>
        <v>198</v>
      </c>
      <c r="F8">
        <f t="shared" ca="1" si="2"/>
        <v>3168</v>
      </c>
      <c r="G8">
        <f t="shared" ca="1" si="3"/>
        <v>3168</v>
      </c>
      <c r="H8">
        <f t="shared" ca="1" si="4"/>
        <v>24236</v>
      </c>
      <c r="I8">
        <f t="shared" ca="1" si="5"/>
        <v>179</v>
      </c>
    </row>
    <row r="9" spans="1:9">
      <c r="A9" s="1">
        <v>45139</v>
      </c>
      <c r="B9" s="1" t="s">
        <v>9</v>
      </c>
      <c r="C9" s="1" t="s">
        <v>10</v>
      </c>
      <c r="D9">
        <f t="shared" ca="1" si="0"/>
        <v>29800</v>
      </c>
      <c r="E9">
        <f t="shared" ca="1" si="1"/>
        <v>298</v>
      </c>
      <c r="F9">
        <f t="shared" ca="1" si="2"/>
        <v>3576</v>
      </c>
      <c r="G9">
        <f t="shared" ca="1" si="3"/>
        <v>6556</v>
      </c>
      <c r="H9">
        <f t="shared" ca="1" si="4"/>
        <v>39532</v>
      </c>
      <c r="I9">
        <f t="shared" ca="1" si="5"/>
        <v>294</v>
      </c>
    </row>
    <row r="10" spans="1:9">
      <c r="A10" s="1">
        <v>45170</v>
      </c>
      <c r="B10" s="1" t="s">
        <v>9</v>
      </c>
      <c r="C10" s="1" t="s">
        <v>10</v>
      </c>
      <c r="D10">
        <f t="shared" ca="1" si="0"/>
        <v>13900</v>
      </c>
      <c r="E10">
        <f t="shared" ca="1" si="1"/>
        <v>139</v>
      </c>
      <c r="F10">
        <f t="shared" ca="1" si="2"/>
        <v>1390</v>
      </c>
      <c r="G10">
        <f t="shared" ca="1" si="3"/>
        <v>1807</v>
      </c>
      <c r="H10">
        <f t="shared" ca="1" si="4"/>
        <v>15797</v>
      </c>
      <c r="I10">
        <f t="shared" ca="1" si="5"/>
        <v>126</v>
      </c>
    </row>
    <row r="11" spans="1:9">
      <c r="A11" s="1">
        <v>45200</v>
      </c>
      <c r="B11" s="1" t="s">
        <v>9</v>
      </c>
      <c r="C11" s="1" t="s">
        <v>10</v>
      </c>
      <c r="D11">
        <f t="shared" ca="1" si="0"/>
        <v>6500</v>
      </c>
      <c r="E11">
        <f t="shared" ca="1" si="1"/>
        <v>65</v>
      </c>
      <c r="F11">
        <f t="shared" ca="1" si="2"/>
        <v>1040</v>
      </c>
      <c r="G11">
        <f t="shared" ca="1" si="3"/>
        <v>1625</v>
      </c>
      <c r="H11">
        <f t="shared" ca="1" si="4"/>
        <v>9165</v>
      </c>
      <c r="I11">
        <f t="shared" ca="1" si="5"/>
        <v>65</v>
      </c>
    </row>
    <row r="12" spans="1:9">
      <c r="A12" s="1">
        <v>45231</v>
      </c>
      <c r="B12" s="1" t="s">
        <v>9</v>
      </c>
      <c r="C12" s="1" t="s">
        <v>10</v>
      </c>
      <c r="D12">
        <f t="shared" ca="1" si="0"/>
        <v>3800</v>
      </c>
      <c r="E12">
        <f t="shared" ca="1" si="1"/>
        <v>38</v>
      </c>
      <c r="F12">
        <f t="shared" ca="1" si="2"/>
        <v>988</v>
      </c>
      <c r="G12">
        <f t="shared" ca="1" si="3"/>
        <v>722</v>
      </c>
      <c r="H12">
        <f t="shared" ca="1" si="4"/>
        <v>4210</v>
      </c>
      <c r="I12">
        <f t="shared" ca="1" si="5"/>
        <v>25</v>
      </c>
    </row>
    <row r="13" spans="1:9">
      <c r="A13" s="1">
        <v>45261</v>
      </c>
      <c r="B13" s="1" t="s">
        <v>9</v>
      </c>
      <c r="C13" s="1" t="s">
        <v>10</v>
      </c>
      <c r="D13">
        <f t="shared" ca="1" si="0"/>
        <v>25000</v>
      </c>
      <c r="E13">
        <f t="shared" ca="1" si="1"/>
        <v>250</v>
      </c>
      <c r="F13">
        <f t="shared" ca="1" si="2"/>
        <v>4000</v>
      </c>
      <c r="G13">
        <f t="shared" ca="1" si="3"/>
        <v>6500</v>
      </c>
      <c r="H13">
        <f t="shared" ca="1" si="4"/>
        <v>34500</v>
      </c>
      <c r="I13">
        <f t="shared" ca="1" si="5"/>
        <v>240</v>
      </c>
    </row>
    <row r="14" spans="1:9">
      <c r="A14" s="1">
        <v>45292</v>
      </c>
      <c r="B14" s="1" t="s">
        <v>9</v>
      </c>
      <c r="C14" s="1" t="s">
        <v>10</v>
      </c>
      <c r="D14">
        <f t="shared" ca="1" si="0"/>
        <v>3000</v>
      </c>
      <c r="E14">
        <f t="shared" ca="1" si="1"/>
        <v>30</v>
      </c>
      <c r="F14">
        <f t="shared" ca="1" si="2"/>
        <v>600</v>
      </c>
      <c r="G14">
        <f t="shared" ca="1" si="3"/>
        <v>480</v>
      </c>
      <c r="H14">
        <f t="shared" ca="1" si="4"/>
        <v>4780</v>
      </c>
      <c r="I14">
        <f t="shared" ca="1" si="5"/>
        <v>37</v>
      </c>
    </row>
    <row r="15" spans="1:9">
      <c r="A15" s="1">
        <v>45323</v>
      </c>
      <c r="B15" s="1" t="s">
        <v>9</v>
      </c>
      <c r="C15" s="1" t="s">
        <v>10</v>
      </c>
      <c r="D15">
        <f t="shared" ca="1" si="0"/>
        <v>6700</v>
      </c>
      <c r="E15">
        <f t="shared" ca="1" si="1"/>
        <v>67</v>
      </c>
      <c r="F15">
        <f t="shared" ca="1" si="2"/>
        <v>1407</v>
      </c>
      <c r="G15">
        <f t="shared" ca="1" si="3"/>
        <v>1876</v>
      </c>
      <c r="H15">
        <f t="shared" ca="1" si="4"/>
        <v>8583</v>
      </c>
      <c r="I15">
        <f t="shared" ca="1" si="5"/>
        <v>53</v>
      </c>
    </row>
    <row r="16" spans="1:9">
      <c r="A16" s="1">
        <v>45352</v>
      </c>
      <c r="B16" s="1" t="s">
        <v>9</v>
      </c>
      <c r="C16" s="1" t="s">
        <v>10</v>
      </c>
      <c r="D16">
        <f t="shared" ca="1" si="0"/>
        <v>12300</v>
      </c>
      <c r="E16">
        <f t="shared" ca="1" si="1"/>
        <v>123</v>
      </c>
      <c r="F16">
        <f t="shared" ca="1" si="2"/>
        <v>3075</v>
      </c>
      <c r="G16">
        <f t="shared" ca="1" si="3"/>
        <v>3690</v>
      </c>
      <c r="H16">
        <f t="shared" ca="1" si="4"/>
        <v>18565</v>
      </c>
      <c r="I16">
        <f t="shared" ca="1" si="5"/>
        <v>118</v>
      </c>
    </row>
    <row r="17" spans="1:9">
      <c r="A17" s="1">
        <v>45383</v>
      </c>
      <c r="B17" s="1" t="s">
        <v>9</v>
      </c>
      <c r="C17" s="1" t="s">
        <v>10</v>
      </c>
      <c r="D17">
        <f t="shared" ca="1" si="0"/>
        <v>7900</v>
      </c>
      <c r="E17">
        <f t="shared" ca="1" si="1"/>
        <v>79</v>
      </c>
      <c r="F17">
        <f t="shared" ca="1" si="2"/>
        <v>1817</v>
      </c>
      <c r="G17">
        <f t="shared" ca="1" si="3"/>
        <v>1896</v>
      </c>
      <c r="H17">
        <f t="shared" ca="1" si="4"/>
        <v>13613</v>
      </c>
      <c r="I17">
        <f t="shared" ca="1" si="5"/>
        <v>99</v>
      </c>
    </row>
    <row r="18" spans="1:9">
      <c r="A18" s="1">
        <v>45413</v>
      </c>
      <c r="B18" s="1" t="s">
        <v>9</v>
      </c>
      <c r="C18" s="1" t="s">
        <v>10</v>
      </c>
      <c r="D18">
        <f t="shared" ca="1" si="0"/>
        <v>28900</v>
      </c>
      <c r="E18">
        <f t="shared" ca="1" si="1"/>
        <v>289</v>
      </c>
      <c r="F18">
        <f t="shared" ca="1" si="2"/>
        <v>8381</v>
      </c>
      <c r="G18">
        <f t="shared" ca="1" si="3"/>
        <v>6358</v>
      </c>
      <c r="H18">
        <f t="shared" ca="1" si="4"/>
        <v>45339</v>
      </c>
      <c r="I18">
        <f t="shared" ca="1" si="5"/>
        <v>306</v>
      </c>
    </row>
    <row r="19" spans="1:9">
      <c r="A19" s="1">
        <v>45444</v>
      </c>
      <c r="B19" s="1" t="s">
        <v>9</v>
      </c>
      <c r="C19" s="1" t="s">
        <v>10</v>
      </c>
      <c r="D19">
        <f t="shared" ca="1" si="0"/>
        <v>8900</v>
      </c>
      <c r="E19">
        <f t="shared" ca="1" si="1"/>
        <v>89</v>
      </c>
      <c r="F19">
        <f t="shared" ca="1" si="2"/>
        <v>1335</v>
      </c>
      <c r="G19">
        <f t="shared" ca="1" si="3"/>
        <v>1780</v>
      </c>
      <c r="H19">
        <f t="shared" ca="1" si="4"/>
        <v>10415</v>
      </c>
      <c r="I19">
        <f t="shared" ca="1" si="5"/>
        <v>73</v>
      </c>
    </row>
    <row r="20" spans="1:9">
      <c r="A20" s="1">
        <v>45474</v>
      </c>
      <c r="B20" s="1" t="s">
        <v>9</v>
      </c>
      <c r="C20" s="1" t="s">
        <v>10</v>
      </c>
      <c r="D20">
        <f t="shared" ca="1" si="0"/>
        <v>24700</v>
      </c>
      <c r="E20">
        <f t="shared" ca="1" si="1"/>
        <v>247</v>
      </c>
      <c r="F20">
        <f t="shared" ca="1" si="2"/>
        <v>6422</v>
      </c>
      <c r="G20">
        <f t="shared" ca="1" si="3"/>
        <v>2470</v>
      </c>
      <c r="H20">
        <f t="shared" ca="1" si="4"/>
        <v>34392</v>
      </c>
      <c r="I20">
        <f t="shared" ca="1" si="5"/>
        <v>255</v>
      </c>
    </row>
    <row r="21" spans="1:9">
      <c r="A21" s="1">
        <v>45505</v>
      </c>
      <c r="B21" s="1" t="s">
        <v>9</v>
      </c>
      <c r="C21" s="1" t="s">
        <v>10</v>
      </c>
      <c r="D21">
        <f t="shared" ca="1" si="0"/>
        <v>25400</v>
      </c>
      <c r="E21">
        <f t="shared" ca="1" si="1"/>
        <v>254</v>
      </c>
      <c r="F21">
        <f t="shared" ca="1" si="2"/>
        <v>5588</v>
      </c>
      <c r="G21">
        <f t="shared" ca="1" si="3"/>
        <v>6858</v>
      </c>
      <c r="H21">
        <f t="shared" ca="1" si="4"/>
        <v>39146</v>
      </c>
      <c r="I21">
        <f t="shared" ca="1" si="5"/>
        <v>267</v>
      </c>
    </row>
    <row r="22" spans="1:9">
      <c r="A22" s="1">
        <v>45536</v>
      </c>
      <c r="B22" s="1" t="s">
        <v>9</v>
      </c>
      <c r="C22" s="1" t="s">
        <v>10</v>
      </c>
      <c r="D22">
        <f t="shared" ca="1" si="0"/>
        <v>9600</v>
      </c>
      <c r="E22">
        <f t="shared" ca="1" si="1"/>
        <v>96</v>
      </c>
      <c r="F22">
        <f t="shared" ca="1" si="2"/>
        <v>1248</v>
      </c>
      <c r="G22">
        <f t="shared" ca="1" si="3"/>
        <v>2400</v>
      </c>
      <c r="H22">
        <f t="shared" ca="1" si="4"/>
        <v>15848</v>
      </c>
      <c r="I22">
        <f t="shared" ca="1" si="5"/>
        <v>122</v>
      </c>
    </row>
    <row r="23" spans="1:9">
      <c r="A23" s="1">
        <v>45566</v>
      </c>
      <c r="B23" s="1" t="s">
        <v>9</v>
      </c>
      <c r="C23" s="1" t="s">
        <v>10</v>
      </c>
      <c r="D23">
        <f t="shared" ca="1" si="0"/>
        <v>14800</v>
      </c>
      <c r="E23">
        <f t="shared" ca="1" si="1"/>
        <v>148</v>
      </c>
      <c r="F23">
        <f t="shared" ca="1" si="2"/>
        <v>2812</v>
      </c>
      <c r="G23">
        <f t="shared" ca="1" si="3"/>
        <v>3996</v>
      </c>
      <c r="H23">
        <f t="shared" ca="1" si="4"/>
        <v>19608</v>
      </c>
      <c r="I23">
        <f t="shared" ca="1" si="5"/>
        <v>128</v>
      </c>
    </row>
    <row r="24" spans="1:9">
      <c r="A24" s="1">
        <v>45597</v>
      </c>
      <c r="B24" s="1" t="s">
        <v>9</v>
      </c>
      <c r="C24" s="1" t="s">
        <v>10</v>
      </c>
      <c r="D24">
        <f t="shared" ca="1" si="0"/>
        <v>23100</v>
      </c>
      <c r="E24">
        <f t="shared" ca="1" si="1"/>
        <v>231</v>
      </c>
      <c r="F24">
        <f t="shared" ca="1" si="2"/>
        <v>2541</v>
      </c>
      <c r="G24">
        <f t="shared" ca="1" si="3"/>
        <v>3234</v>
      </c>
      <c r="H24">
        <f t="shared" ca="1" si="4"/>
        <v>29875</v>
      </c>
      <c r="I24">
        <f t="shared" ca="1" si="5"/>
        <v>241</v>
      </c>
    </row>
    <row r="25" spans="1:9">
      <c r="A25" s="1">
        <v>45627</v>
      </c>
      <c r="B25" s="1" t="s">
        <v>9</v>
      </c>
      <c r="C25" s="1" t="s">
        <v>10</v>
      </c>
      <c r="D25">
        <f t="shared" ca="1" si="0"/>
        <v>20300</v>
      </c>
      <c r="E25">
        <f t="shared" ca="1" si="1"/>
        <v>203</v>
      </c>
      <c r="F25">
        <f t="shared" ca="1" si="2"/>
        <v>3248</v>
      </c>
      <c r="G25">
        <f t="shared" ca="1" si="3"/>
        <v>4669</v>
      </c>
      <c r="H25">
        <f t="shared" ca="1" si="4"/>
        <v>28417</v>
      </c>
      <c r="I25">
        <f t="shared" ca="1" si="5"/>
        <v>205</v>
      </c>
    </row>
    <row r="26" spans="1:9">
      <c r="A26" s="1">
        <v>44927</v>
      </c>
      <c r="B26" s="1" t="s">
        <v>11</v>
      </c>
      <c r="C26" s="1" t="s">
        <v>10</v>
      </c>
      <c r="D26">
        <f ca="1">E26*100</f>
        <v>7200</v>
      </c>
      <c r="E26">
        <f ca="1">RANDBETWEEN(0,300)</f>
        <v>72</v>
      </c>
      <c r="F26">
        <f t="shared" ca="1" si="2"/>
        <v>792</v>
      </c>
      <c r="G26">
        <f t="shared" ca="1" si="3"/>
        <v>1368</v>
      </c>
      <c r="H26">
        <f t="shared" ca="1" si="4"/>
        <v>9460</v>
      </c>
      <c r="I26">
        <f t="shared" ca="1" si="5"/>
        <v>73</v>
      </c>
    </row>
    <row r="27" spans="1:9">
      <c r="A27" s="1">
        <v>44958</v>
      </c>
      <c r="B27" s="1" t="s">
        <v>11</v>
      </c>
      <c r="C27" s="1" t="s">
        <v>10</v>
      </c>
      <c r="D27">
        <f t="shared" ref="D27:D49" ca="1" si="6">E27*100</f>
        <v>14000</v>
      </c>
      <c r="E27">
        <f t="shared" ca="1" si="1"/>
        <v>140</v>
      </c>
      <c r="F27">
        <f t="shared" ca="1" si="2"/>
        <v>2240</v>
      </c>
      <c r="G27">
        <f t="shared" ca="1" si="3"/>
        <v>2940</v>
      </c>
      <c r="H27">
        <f t="shared" ca="1" si="4"/>
        <v>20680</v>
      </c>
      <c r="I27">
        <f t="shared" ca="1" si="5"/>
        <v>155</v>
      </c>
    </row>
    <row r="28" spans="1:9">
      <c r="A28" s="1">
        <v>44986</v>
      </c>
      <c r="B28" s="1" t="s">
        <v>11</v>
      </c>
      <c r="C28" s="1" t="s">
        <v>10</v>
      </c>
      <c r="D28">
        <f t="shared" ca="1" si="6"/>
        <v>28000</v>
      </c>
      <c r="E28">
        <f t="shared" ca="1" si="1"/>
        <v>280</v>
      </c>
      <c r="F28">
        <f t="shared" ca="1" si="2"/>
        <v>4200</v>
      </c>
      <c r="G28">
        <f t="shared" ca="1" si="3"/>
        <v>3080</v>
      </c>
      <c r="H28">
        <f t="shared" ca="1" si="4"/>
        <v>32480</v>
      </c>
      <c r="I28">
        <f t="shared" ca="1" si="5"/>
        <v>252</v>
      </c>
    </row>
    <row r="29" spans="1:9">
      <c r="A29" s="1">
        <v>45017</v>
      </c>
      <c r="B29" s="1" t="s">
        <v>11</v>
      </c>
      <c r="C29" s="1" t="s">
        <v>10</v>
      </c>
      <c r="D29">
        <f t="shared" ca="1" si="6"/>
        <v>27700</v>
      </c>
      <c r="E29">
        <f t="shared" ca="1" si="1"/>
        <v>277</v>
      </c>
      <c r="F29">
        <f t="shared" ca="1" si="2"/>
        <v>8310</v>
      </c>
      <c r="G29">
        <f t="shared" ca="1" si="3"/>
        <v>6925</v>
      </c>
      <c r="H29">
        <f t="shared" ca="1" si="4"/>
        <v>40335</v>
      </c>
      <c r="I29">
        <f t="shared" ca="1" si="5"/>
        <v>251</v>
      </c>
    </row>
    <row r="30" spans="1:9">
      <c r="A30" s="1">
        <v>45047</v>
      </c>
      <c r="B30" s="1" t="s">
        <v>11</v>
      </c>
      <c r="C30" s="1" t="s">
        <v>10</v>
      </c>
      <c r="D30">
        <f t="shared" ca="1" si="6"/>
        <v>500</v>
      </c>
      <c r="E30">
        <f t="shared" ca="1" si="1"/>
        <v>5</v>
      </c>
      <c r="F30">
        <f t="shared" ca="1" si="2"/>
        <v>115</v>
      </c>
      <c r="G30">
        <f t="shared" ca="1" si="3"/>
        <v>110</v>
      </c>
      <c r="H30">
        <f t="shared" ca="1" si="4"/>
        <v>2525</v>
      </c>
      <c r="I30">
        <f t="shared" ca="1" si="5"/>
        <v>23</v>
      </c>
    </row>
    <row r="31" spans="1:9">
      <c r="A31" s="1">
        <v>45078</v>
      </c>
      <c r="B31" s="1" t="s">
        <v>11</v>
      </c>
      <c r="C31" s="1" t="s">
        <v>10</v>
      </c>
      <c r="D31">
        <f t="shared" ca="1" si="6"/>
        <v>3300</v>
      </c>
      <c r="E31">
        <f t="shared" ca="1" si="1"/>
        <v>33</v>
      </c>
      <c r="F31">
        <f t="shared" ca="1" si="2"/>
        <v>990</v>
      </c>
      <c r="G31">
        <f t="shared" ca="1" si="3"/>
        <v>528</v>
      </c>
      <c r="H31">
        <f t="shared" ca="1" si="4"/>
        <v>3218</v>
      </c>
      <c r="I31">
        <f t="shared" ca="1" si="5"/>
        <v>17</v>
      </c>
    </row>
    <row r="32" spans="1:9">
      <c r="A32" s="1">
        <v>45108</v>
      </c>
      <c r="B32" s="1" t="s">
        <v>11</v>
      </c>
      <c r="C32" s="1" t="s">
        <v>10</v>
      </c>
      <c r="D32">
        <f t="shared" ca="1" si="6"/>
        <v>15800</v>
      </c>
      <c r="E32">
        <f t="shared" ca="1" si="1"/>
        <v>158</v>
      </c>
      <c r="F32">
        <f t="shared" ca="1" si="2"/>
        <v>4582</v>
      </c>
      <c r="G32">
        <f t="shared" ca="1" si="3"/>
        <v>3792</v>
      </c>
      <c r="H32">
        <f t="shared" ca="1" si="4"/>
        <v>24074</v>
      </c>
      <c r="I32">
        <f t="shared" ca="1" si="5"/>
        <v>157</v>
      </c>
    </row>
    <row r="33" spans="1:9">
      <c r="A33" s="1">
        <v>45139</v>
      </c>
      <c r="B33" s="1" t="s">
        <v>11</v>
      </c>
      <c r="C33" s="1" t="s">
        <v>10</v>
      </c>
      <c r="D33">
        <f t="shared" ca="1" si="6"/>
        <v>3700</v>
      </c>
      <c r="E33">
        <f t="shared" ca="1" si="1"/>
        <v>37</v>
      </c>
      <c r="F33">
        <f t="shared" ca="1" si="2"/>
        <v>814</v>
      </c>
      <c r="G33">
        <f t="shared" ca="1" si="3"/>
        <v>407</v>
      </c>
      <c r="H33">
        <f t="shared" ca="1" si="4"/>
        <v>5921</v>
      </c>
      <c r="I33">
        <f t="shared" ca="1" si="5"/>
        <v>47</v>
      </c>
    </row>
    <row r="34" spans="1:9">
      <c r="A34" s="1">
        <v>45170</v>
      </c>
      <c r="B34" s="1" t="s">
        <v>11</v>
      </c>
      <c r="C34" s="1" t="s">
        <v>10</v>
      </c>
      <c r="D34">
        <f t="shared" ca="1" si="6"/>
        <v>10300</v>
      </c>
      <c r="E34">
        <f t="shared" ca="1" si="1"/>
        <v>103</v>
      </c>
      <c r="F34">
        <f t="shared" ca="1" si="2"/>
        <v>3090</v>
      </c>
      <c r="G34">
        <f t="shared" ca="1" si="3"/>
        <v>1442</v>
      </c>
      <c r="H34">
        <f t="shared" ca="1" si="4"/>
        <v>14032</v>
      </c>
      <c r="I34">
        <f t="shared" ca="1" si="5"/>
        <v>95</v>
      </c>
    </row>
    <row r="35" spans="1:9">
      <c r="A35" s="1">
        <v>45200</v>
      </c>
      <c r="B35" s="1" t="s">
        <v>11</v>
      </c>
      <c r="C35" s="1" t="s">
        <v>10</v>
      </c>
      <c r="D35">
        <f t="shared" ca="1" si="6"/>
        <v>6000</v>
      </c>
      <c r="E35">
        <f t="shared" ca="1" si="1"/>
        <v>60</v>
      </c>
      <c r="F35">
        <f t="shared" ca="1" si="2"/>
        <v>720</v>
      </c>
      <c r="G35">
        <f t="shared" ca="1" si="3"/>
        <v>1440</v>
      </c>
      <c r="H35">
        <f t="shared" ca="1" si="4"/>
        <v>6060</v>
      </c>
      <c r="I35">
        <f t="shared" ca="1" si="5"/>
        <v>39</v>
      </c>
    </row>
    <row r="36" spans="1:9">
      <c r="A36" s="1">
        <v>45231</v>
      </c>
      <c r="B36" s="1" t="s">
        <v>11</v>
      </c>
      <c r="C36" s="1" t="s">
        <v>10</v>
      </c>
      <c r="D36">
        <f t="shared" ca="1" si="6"/>
        <v>26500</v>
      </c>
      <c r="E36">
        <f t="shared" ca="1" si="1"/>
        <v>265</v>
      </c>
      <c r="F36">
        <f t="shared" ca="1" si="2"/>
        <v>3975</v>
      </c>
      <c r="G36">
        <f t="shared" ca="1" si="3"/>
        <v>4240</v>
      </c>
      <c r="H36">
        <f t="shared" ca="1" si="4"/>
        <v>34015</v>
      </c>
      <c r="I36">
        <f t="shared" ca="1" si="5"/>
        <v>258</v>
      </c>
    </row>
    <row r="37" spans="1:9">
      <c r="A37" s="1">
        <v>45261</v>
      </c>
      <c r="B37" s="1" t="s">
        <v>11</v>
      </c>
      <c r="C37" s="1" t="s">
        <v>10</v>
      </c>
      <c r="D37">
        <f t="shared" ca="1" si="6"/>
        <v>11400</v>
      </c>
      <c r="E37">
        <f t="shared" ca="1" si="1"/>
        <v>114</v>
      </c>
      <c r="F37">
        <f t="shared" ca="1" si="2"/>
        <v>1824</v>
      </c>
      <c r="G37">
        <f t="shared" ca="1" si="3"/>
        <v>1824</v>
      </c>
      <c r="H37">
        <f t="shared" ca="1" si="4"/>
        <v>12448</v>
      </c>
      <c r="I37">
        <f t="shared" ca="1" si="5"/>
        <v>88</v>
      </c>
    </row>
    <row r="38" spans="1:9">
      <c r="A38" s="1">
        <v>45292</v>
      </c>
      <c r="B38" s="1" t="s">
        <v>11</v>
      </c>
      <c r="C38" s="1" t="s">
        <v>10</v>
      </c>
      <c r="D38">
        <f t="shared" ca="1" si="6"/>
        <v>16500</v>
      </c>
      <c r="E38">
        <f t="shared" ca="1" si="1"/>
        <v>165</v>
      </c>
      <c r="F38">
        <f t="shared" ca="1" si="2"/>
        <v>3300</v>
      </c>
      <c r="G38">
        <f t="shared" ca="1" si="3"/>
        <v>2475</v>
      </c>
      <c r="H38">
        <f t="shared" ca="1" si="4"/>
        <v>21075</v>
      </c>
      <c r="I38">
        <f t="shared" ca="1" si="5"/>
        <v>153</v>
      </c>
    </row>
    <row r="39" spans="1:9">
      <c r="A39" s="1">
        <v>45323</v>
      </c>
      <c r="B39" s="1" t="s">
        <v>11</v>
      </c>
      <c r="C39" s="1" t="s">
        <v>10</v>
      </c>
      <c r="D39">
        <f t="shared" ca="1" si="6"/>
        <v>28300</v>
      </c>
      <c r="E39">
        <f t="shared" ca="1" si="1"/>
        <v>283</v>
      </c>
      <c r="F39">
        <f t="shared" ca="1" si="2"/>
        <v>8490</v>
      </c>
      <c r="G39">
        <f t="shared" ca="1" si="3"/>
        <v>7924</v>
      </c>
      <c r="H39">
        <f t="shared" ca="1" si="4"/>
        <v>43014</v>
      </c>
      <c r="I39">
        <f t="shared" ca="1" si="5"/>
        <v>266</v>
      </c>
    </row>
    <row r="40" spans="1:9">
      <c r="A40" s="1">
        <v>45352</v>
      </c>
      <c r="B40" s="1" t="s">
        <v>11</v>
      </c>
      <c r="C40" s="1" t="s">
        <v>10</v>
      </c>
      <c r="D40">
        <f t="shared" ca="1" si="6"/>
        <v>20200</v>
      </c>
      <c r="E40">
        <f t="shared" ca="1" si="1"/>
        <v>202</v>
      </c>
      <c r="F40">
        <f t="shared" ca="1" si="2"/>
        <v>5050</v>
      </c>
      <c r="G40">
        <f t="shared" ca="1" si="3"/>
        <v>3838</v>
      </c>
      <c r="H40">
        <f t="shared" ca="1" si="4"/>
        <v>27388</v>
      </c>
      <c r="I40">
        <f t="shared" ca="1" si="5"/>
        <v>185</v>
      </c>
    </row>
    <row r="41" spans="1:9">
      <c r="A41" s="1">
        <v>45383</v>
      </c>
      <c r="B41" s="1" t="s">
        <v>11</v>
      </c>
      <c r="C41" s="1" t="s">
        <v>10</v>
      </c>
      <c r="D41">
        <f t="shared" ca="1" si="6"/>
        <v>22700</v>
      </c>
      <c r="E41">
        <f t="shared" ca="1" si="1"/>
        <v>227</v>
      </c>
      <c r="F41">
        <f t="shared" ca="1" si="2"/>
        <v>5221</v>
      </c>
      <c r="G41">
        <f t="shared" ca="1" si="3"/>
        <v>3178</v>
      </c>
      <c r="H41">
        <f t="shared" ca="1" si="4"/>
        <v>29099</v>
      </c>
      <c r="I41">
        <f t="shared" ca="1" si="5"/>
        <v>207</v>
      </c>
    </row>
    <row r="42" spans="1:9">
      <c r="A42" s="1">
        <v>45413</v>
      </c>
      <c r="B42" s="1" t="s">
        <v>11</v>
      </c>
      <c r="C42" s="1" t="s">
        <v>10</v>
      </c>
      <c r="D42">
        <f t="shared" ca="1" si="6"/>
        <v>15100</v>
      </c>
      <c r="E42">
        <f t="shared" ca="1" si="1"/>
        <v>151</v>
      </c>
      <c r="F42">
        <f t="shared" ca="1" si="2"/>
        <v>4077</v>
      </c>
      <c r="G42">
        <f t="shared" ca="1" si="3"/>
        <v>4077</v>
      </c>
      <c r="H42">
        <f t="shared" ca="1" si="4"/>
        <v>23354</v>
      </c>
      <c r="I42">
        <f t="shared" ca="1" si="5"/>
        <v>152</v>
      </c>
    </row>
    <row r="43" spans="1:9">
      <c r="A43" s="1">
        <v>45444</v>
      </c>
      <c r="B43" s="1" t="s">
        <v>11</v>
      </c>
      <c r="C43" s="1" t="s">
        <v>10</v>
      </c>
      <c r="D43">
        <f t="shared" ca="1" si="6"/>
        <v>1400</v>
      </c>
      <c r="E43">
        <f t="shared" ca="1" si="1"/>
        <v>14</v>
      </c>
      <c r="F43">
        <f t="shared" ca="1" si="2"/>
        <v>378</v>
      </c>
      <c r="G43">
        <f t="shared" ca="1" si="3"/>
        <v>364</v>
      </c>
      <c r="H43">
        <f t="shared" ca="1" si="4"/>
        <v>4842</v>
      </c>
      <c r="I43">
        <f t="shared" ca="1" si="5"/>
        <v>41</v>
      </c>
    </row>
    <row r="44" spans="1:9">
      <c r="A44" s="1">
        <v>45474</v>
      </c>
      <c r="B44" s="1" t="s">
        <v>11</v>
      </c>
      <c r="C44" s="1" t="s">
        <v>10</v>
      </c>
      <c r="D44">
        <f t="shared" ca="1" si="6"/>
        <v>22700</v>
      </c>
      <c r="E44">
        <f t="shared" ca="1" si="1"/>
        <v>227</v>
      </c>
      <c r="F44">
        <f t="shared" ca="1" si="2"/>
        <v>3405</v>
      </c>
      <c r="G44">
        <f t="shared" ca="1" si="3"/>
        <v>3859</v>
      </c>
      <c r="H44">
        <f t="shared" ca="1" si="4"/>
        <v>28364</v>
      </c>
      <c r="I44">
        <f t="shared" ca="1" si="5"/>
        <v>211</v>
      </c>
    </row>
    <row r="45" spans="1:9">
      <c r="A45" s="1">
        <v>45505</v>
      </c>
      <c r="B45" s="1" t="s">
        <v>11</v>
      </c>
      <c r="C45" s="1" t="s">
        <v>10</v>
      </c>
      <c r="D45">
        <f t="shared" ca="1" si="6"/>
        <v>10000</v>
      </c>
      <c r="E45">
        <f t="shared" ca="1" si="1"/>
        <v>100</v>
      </c>
      <c r="F45">
        <f t="shared" ca="1" si="2"/>
        <v>1600</v>
      </c>
      <c r="G45">
        <f t="shared" ca="1" si="3"/>
        <v>1900</v>
      </c>
      <c r="H45">
        <f t="shared" ca="1" si="4"/>
        <v>13300</v>
      </c>
      <c r="I45">
        <f t="shared" ca="1" si="5"/>
        <v>98</v>
      </c>
    </row>
    <row r="46" spans="1:9">
      <c r="A46" s="1">
        <v>45536</v>
      </c>
      <c r="B46" s="1" t="s">
        <v>11</v>
      </c>
      <c r="C46" s="1" t="s">
        <v>10</v>
      </c>
      <c r="D46">
        <f t="shared" ca="1" si="6"/>
        <v>19500</v>
      </c>
      <c r="E46">
        <f t="shared" ca="1" si="1"/>
        <v>195</v>
      </c>
      <c r="F46">
        <f t="shared" ca="1" si="2"/>
        <v>5655</v>
      </c>
      <c r="G46">
        <f t="shared" ca="1" si="3"/>
        <v>4680</v>
      </c>
      <c r="H46">
        <f t="shared" ca="1" si="4"/>
        <v>31835</v>
      </c>
      <c r="I46">
        <f t="shared" ca="1" si="5"/>
        <v>215</v>
      </c>
    </row>
    <row r="47" spans="1:9">
      <c r="A47" s="1">
        <v>45566</v>
      </c>
      <c r="B47" s="1" t="s">
        <v>11</v>
      </c>
      <c r="C47" s="1" t="s">
        <v>10</v>
      </c>
      <c r="D47">
        <f t="shared" ca="1" si="6"/>
        <v>12500</v>
      </c>
      <c r="E47">
        <f t="shared" ca="1" si="1"/>
        <v>125</v>
      </c>
      <c r="F47">
        <f t="shared" ca="1" si="2"/>
        <v>3250</v>
      </c>
      <c r="G47">
        <f t="shared" ca="1" si="3"/>
        <v>3250</v>
      </c>
      <c r="H47">
        <f t="shared" ca="1" si="4"/>
        <v>20700</v>
      </c>
      <c r="I47">
        <f t="shared" ca="1" si="5"/>
        <v>142</v>
      </c>
    </row>
    <row r="48" spans="1:9">
      <c r="A48" s="1">
        <v>45597</v>
      </c>
      <c r="B48" s="1" t="s">
        <v>11</v>
      </c>
      <c r="C48" s="1" t="s">
        <v>10</v>
      </c>
      <c r="D48">
        <f t="shared" ca="1" si="6"/>
        <v>15700</v>
      </c>
      <c r="E48">
        <f t="shared" ca="1" si="1"/>
        <v>157</v>
      </c>
      <c r="F48">
        <f t="shared" ca="1" si="2"/>
        <v>3611</v>
      </c>
      <c r="G48">
        <f t="shared" ca="1" si="3"/>
        <v>1727</v>
      </c>
      <c r="H48">
        <f t="shared" ca="1" si="4"/>
        <v>22638</v>
      </c>
      <c r="I48">
        <f t="shared" ca="1" si="5"/>
        <v>173</v>
      </c>
    </row>
    <row r="49" spans="1:9">
      <c r="A49" s="1">
        <v>45627</v>
      </c>
      <c r="B49" s="1" t="s">
        <v>11</v>
      </c>
      <c r="C49" s="1" t="s">
        <v>10</v>
      </c>
      <c r="D49">
        <f t="shared" ca="1" si="6"/>
        <v>28600</v>
      </c>
      <c r="E49">
        <f t="shared" ca="1" si="1"/>
        <v>286</v>
      </c>
      <c r="F49">
        <f t="shared" ca="1" si="2"/>
        <v>7150</v>
      </c>
      <c r="G49">
        <f t="shared" ca="1" si="3"/>
        <v>7150</v>
      </c>
      <c r="H49">
        <f t="shared" ca="1" si="4"/>
        <v>41300</v>
      </c>
      <c r="I49">
        <f t="shared" ca="1" si="5"/>
        <v>270</v>
      </c>
    </row>
    <row r="50" spans="1:9">
      <c r="A50" s="1">
        <v>44927</v>
      </c>
      <c r="B50" s="1" t="s">
        <v>9</v>
      </c>
      <c r="C50" s="1" t="s">
        <v>12</v>
      </c>
      <c r="D50">
        <f ca="1">E50*100</f>
        <v>13300</v>
      </c>
      <c r="E50">
        <f ca="1">RANDBETWEEN(0,300)</f>
        <v>133</v>
      </c>
      <c r="F50">
        <f t="shared" ca="1" si="2"/>
        <v>1330</v>
      </c>
      <c r="G50">
        <f t="shared" ca="1" si="3"/>
        <v>1729</v>
      </c>
      <c r="H50">
        <f t="shared" ca="1" si="4"/>
        <v>16359</v>
      </c>
      <c r="I50">
        <f t="shared" ca="1" si="5"/>
        <v>133</v>
      </c>
    </row>
    <row r="51" spans="1:9">
      <c r="A51" s="1">
        <v>44958</v>
      </c>
      <c r="B51" s="1" t="s">
        <v>9</v>
      </c>
      <c r="C51" s="1" t="s">
        <v>12</v>
      </c>
      <c r="D51">
        <f t="shared" ref="D51:D73" ca="1" si="7">E51*100</f>
        <v>22900</v>
      </c>
      <c r="E51">
        <f t="shared" ca="1" si="1"/>
        <v>229</v>
      </c>
      <c r="F51">
        <f t="shared" ca="1" si="2"/>
        <v>3893</v>
      </c>
      <c r="G51">
        <f t="shared" ca="1" si="3"/>
        <v>6870</v>
      </c>
      <c r="H51">
        <f t="shared" ca="1" si="4"/>
        <v>33163</v>
      </c>
      <c r="I51">
        <f t="shared" ca="1" si="5"/>
        <v>224</v>
      </c>
    </row>
    <row r="52" spans="1:9">
      <c r="A52" s="1">
        <v>44986</v>
      </c>
      <c r="B52" s="1" t="s">
        <v>9</v>
      </c>
      <c r="C52" s="1" t="s">
        <v>12</v>
      </c>
      <c r="D52">
        <f t="shared" ca="1" si="7"/>
        <v>20700</v>
      </c>
      <c r="E52">
        <f t="shared" ca="1" si="1"/>
        <v>207</v>
      </c>
      <c r="F52">
        <f t="shared" ca="1" si="2"/>
        <v>3105</v>
      </c>
      <c r="G52">
        <f t="shared" ca="1" si="3"/>
        <v>5589</v>
      </c>
      <c r="H52">
        <f t="shared" ca="1" si="4"/>
        <v>32394</v>
      </c>
      <c r="I52">
        <f t="shared" ca="1" si="5"/>
        <v>237</v>
      </c>
    </row>
    <row r="53" spans="1:9">
      <c r="A53" s="1">
        <v>45017</v>
      </c>
      <c r="B53" s="1" t="s">
        <v>9</v>
      </c>
      <c r="C53" s="1" t="s">
        <v>12</v>
      </c>
      <c r="D53">
        <f t="shared" ca="1" si="7"/>
        <v>7600</v>
      </c>
      <c r="E53">
        <f t="shared" ca="1" si="1"/>
        <v>76</v>
      </c>
      <c r="F53">
        <f t="shared" ca="1" si="2"/>
        <v>1520</v>
      </c>
      <c r="G53">
        <f t="shared" ca="1" si="3"/>
        <v>1596</v>
      </c>
      <c r="H53">
        <f t="shared" ca="1" si="4"/>
        <v>13516</v>
      </c>
      <c r="I53">
        <f t="shared" ca="1" si="5"/>
        <v>104</v>
      </c>
    </row>
    <row r="54" spans="1:9">
      <c r="A54" s="1">
        <v>45047</v>
      </c>
      <c r="B54" s="1" t="s">
        <v>9</v>
      </c>
      <c r="C54" s="1" t="s">
        <v>12</v>
      </c>
      <c r="D54">
        <f t="shared" ca="1" si="7"/>
        <v>1000</v>
      </c>
      <c r="E54">
        <f t="shared" ca="1" si="1"/>
        <v>10</v>
      </c>
      <c r="F54">
        <f t="shared" ca="1" si="2"/>
        <v>190</v>
      </c>
      <c r="G54">
        <f t="shared" ca="1" si="3"/>
        <v>110</v>
      </c>
      <c r="H54">
        <f t="shared" ca="1" si="4"/>
        <v>4100</v>
      </c>
      <c r="I54">
        <f t="shared" ca="1" si="5"/>
        <v>38</v>
      </c>
    </row>
    <row r="55" spans="1:9">
      <c r="A55" s="1">
        <v>45078</v>
      </c>
      <c r="B55" s="1" t="s">
        <v>9</v>
      </c>
      <c r="C55" s="1" t="s">
        <v>12</v>
      </c>
      <c r="D55">
        <f t="shared" ca="1" si="7"/>
        <v>26200</v>
      </c>
      <c r="E55">
        <f t="shared" ca="1" si="1"/>
        <v>262</v>
      </c>
      <c r="F55">
        <f t="shared" ca="1" si="2"/>
        <v>7860</v>
      </c>
      <c r="G55">
        <f t="shared" ca="1" si="3"/>
        <v>6812</v>
      </c>
      <c r="H55">
        <f t="shared" ca="1" si="4"/>
        <v>37872</v>
      </c>
      <c r="I55">
        <f t="shared" ca="1" si="5"/>
        <v>232</v>
      </c>
    </row>
    <row r="56" spans="1:9">
      <c r="A56" s="1">
        <v>45108</v>
      </c>
      <c r="B56" s="1" t="s">
        <v>9</v>
      </c>
      <c r="C56" s="1" t="s">
        <v>12</v>
      </c>
      <c r="D56">
        <f t="shared" ca="1" si="7"/>
        <v>11600</v>
      </c>
      <c r="E56">
        <f t="shared" ca="1" si="1"/>
        <v>116</v>
      </c>
      <c r="F56">
        <f t="shared" ca="1" si="2"/>
        <v>3016</v>
      </c>
      <c r="G56">
        <f t="shared" ca="1" si="3"/>
        <v>1508</v>
      </c>
      <c r="H56">
        <f t="shared" ca="1" si="4"/>
        <v>16824</v>
      </c>
      <c r="I56">
        <f t="shared" ca="1" si="5"/>
        <v>123</v>
      </c>
    </row>
    <row r="57" spans="1:9">
      <c r="A57" s="1">
        <v>45139</v>
      </c>
      <c r="B57" s="1" t="s">
        <v>9</v>
      </c>
      <c r="C57" s="1" t="s">
        <v>12</v>
      </c>
      <c r="D57">
        <f t="shared" ca="1" si="7"/>
        <v>10200</v>
      </c>
      <c r="E57">
        <f t="shared" ca="1" si="1"/>
        <v>102</v>
      </c>
      <c r="F57">
        <f t="shared" ca="1" si="2"/>
        <v>2958</v>
      </c>
      <c r="G57">
        <f t="shared" ca="1" si="3"/>
        <v>1326</v>
      </c>
      <c r="H57">
        <f t="shared" ca="1" si="4"/>
        <v>15584</v>
      </c>
      <c r="I57">
        <f t="shared" ca="1" si="5"/>
        <v>113</v>
      </c>
    </row>
    <row r="58" spans="1:9">
      <c r="A58" s="1">
        <v>45170</v>
      </c>
      <c r="B58" s="1" t="s">
        <v>9</v>
      </c>
      <c r="C58" s="1" t="s">
        <v>12</v>
      </c>
      <c r="D58">
        <f t="shared" ca="1" si="7"/>
        <v>18200</v>
      </c>
      <c r="E58">
        <f t="shared" ca="1" si="1"/>
        <v>182</v>
      </c>
      <c r="F58">
        <f t="shared" ca="1" si="2"/>
        <v>4732</v>
      </c>
      <c r="G58">
        <f t="shared" ca="1" si="3"/>
        <v>1820</v>
      </c>
      <c r="H58">
        <f t="shared" ca="1" si="4"/>
        <v>26652</v>
      </c>
      <c r="I58">
        <f t="shared" ca="1" si="5"/>
        <v>201</v>
      </c>
    </row>
    <row r="59" spans="1:9">
      <c r="A59" s="1">
        <v>45200</v>
      </c>
      <c r="B59" s="1" t="s">
        <v>9</v>
      </c>
      <c r="C59" s="1" t="s">
        <v>12</v>
      </c>
      <c r="D59">
        <f t="shared" ca="1" si="7"/>
        <v>23300</v>
      </c>
      <c r="E59">
        <f t="shared" ca="1" si="1"/>
        <v>233</v>
      </c>
      <c r="F59">
        <f t="shared" ca="1" si="2"/>
        <v>6757</v>
      </c>
      <c r="G59">
        <f t="shared" ca="1" si="3"/>
        <v>4660</v>
      </c>
      <c r="H59">
        <f t="shared" ca="1" si="4"/>
        <v>31717</v>
      </c>
      <c r="I59">
        <f t="shared" ca="1" si="5"/>
        <v>203</v>
      </c>
    </row>
    <row r="60" spans="1:9">
      <c r="A60" s="1">
        <v>45231</v>
      </c>
      <c r="B60" s="1" t="s">
        <v>9</v>
      </c>
      <c r="C60" s="1" t="s">
        <v>12</v>
      </c>
      <c r="D60">
        <f t="shared" ca="1" si="7"/>
        <v>26700</v>
      </c>
      <c r="E60">
        <f t="shared" ca="1" si="1"/>
        <v>267</v>
      </c>
      <c r="F60">
        <f t="shared" ca="1" si="2"/>
        <v>3471</v>
      </c>
      <c r="G60">
        <f t="shared" ca="1" si="3"/>
        <v>5607</v>
      </c>
      <c r="H60">
        <f t="shared" ca="1" si="4"/>
        <v>36578</v>
      </c>
      <c r="I60">
        <f t="shared" ca="1" si="5"/>
        <v>275</v>
      </c>
    </row>
    <row r="61" spans="1:9">
      <c r="A61" s="1">
        <v>45261</v>
      </c>
      <c r="B61" s="1" t="s">
        <v>9</v>
      </c>
      <c r="C61" s="1" t="s">
        <v>12</v>
      </c>
      <c r="D61">
        <f t="shared" ca="1" si="7"/>
        <v>28900</v>
      </c>
      <c r="E61">
        <f t="shared" ca="1" si="1"/>
        <v>289</v>
      </c>
      <c r="F61">
        <f t="shared" ca="1" si="2"/>
        <v>6647</v>
      </c>
      <c r="G61">
        <f t="shared" ca="1" si="3"/>
        <v>6069</v>
      </c>
      <c r="H61">
        <f t="shared" ca="1" si="4"/>
        <v>39516</v>
      </c>
      <c r="I61">
        <f t="shared" ca="1" si="5"/>
        <v>268</v>
      </c>
    </row>
    <row r="62" spans="1:9">
      <c r="A62" s="1">
        <v>45292</v>
      </c>
      <c r="B62" s="1" t="s">
        <v>9</v>
      </c>
      <c r="C62" s="1" t="s">
        <v>12</v>
      </c>
      <c r="D62">
        <f t="shared" ca="1" si="7"/>
        <v>8200</v>
      </c>
      <c r="E62">
        <f t="shared" ca="1" si="1"/>
        <v>82</v>
      </c>
      <c r="F62">
        <f t="shared" ca="1" si="2"/>
        <v>1722</v>
      </c>
      <c r="G62">
        <f t="shared" ca="1" si="3"/>
        <v>2296</v>
      </c>
      <c r="H62">
        <f t="shared" ca="1" si="4"/>
        <v>15018</v>
      </c>
      <c r="I62">
        <f t="shared" ca="1" si="5"/>
        <v>110</v>
      </c>
    </row>
    <row r="63" spans="1:9">
      <c r="A63" s="1">
        <v>45323</v>
      </c>
      <c r="B63" s="1" t="s">
        <v>9</v>
      </c>
      <c r="C63" s="1" t="s">
        <v>12</v>
      </c>
      <c r="D63">
        <f t="shared" ca="1" si="7"/>
        <v>16300</v>
      </c>
      <c r="E63">
        <f t="shared" ca="1" si="1"/>
        <v>163</v>
      </c>
      <c r="F63">
        <f t="shared" ca="1" si="2"/>
        <v>3912</v>
      </c>
      <c r="G63">
        <f t="shared" ca="1" si="3"/>
        <v>4890</v>
      </c>
      <c r="H63">
        <f t="shared" ca="1" si="4"/>
        <v>22502</v>
      </c>
      <c r="I63">
        <f t="shared" ca="1" si="5"/>
        <v>137</v>
      </c>
    </row>
    <row r="64" spans="1:9">
      <c r="A64" s="1">
        <v>45352</v>
      </c>
      <c r="B64" s="1" t="s">
        <v>9</v>
      </c>
      <c r="C64" s="1" t="s">
        <v>12</v>
      </c>
      <c r="D64">
        <f t="shared" ca="1" si="7"/>
        <v>22300</v>
      </c>
      <c r="E64">
        <f t="shared" ca="1" si="1"/>
        <v>223</v>
      </c>
      <c r="F64">
        <f t="shared" ca="1" si="2"/>
        <v>5575</v>
      </c>
      <c r="G64">
        <f t="shared" ca="1" si="3"/>
        <v>2676</v>
      </c>
      <c r="H64">
        <f t="shared" ca="1" si="4"/>
        <v>33051</v>
      </c>
      <c r="I64">
        <f t="shared" ca="1" si="5"/>
        <v>248</v>
      </c>
    </row>
    <row r="65" spans="1:9">
      <c r="A65" s="1">
        <v>45383</v>
      </c>
      <c r="B65" s="1" t="s">
        <v>9</v>
      </c>
      <c r="C65" s="1" t="s">
        <v>12</v>
      </c>
      <c r="D65">
        <f t="shared" ca="1" si="7"/>
        <v>6300</v>
      </c>
      <c r="E65">
        <f t="shared" ca="1" si="1"/>
        <v>63</v>
      </c>
      <c r="F65">
        <f t="shared" ca="1" si="2"/>
        <v>1764</v>
      </c>
      <c r="G65">
        <f t="shared" ca="1" si="3"/>
        <v>1827</v>
      </c>
      <c r="H65">
        <f t="shared" ca="1" si="4"/>
        <v>11191</v>
      </c>
      <c r="I65">
        <f t="shared" ca="1" si="5"/>
        <v>76</v>
      </c>
    </row>
    <row r="66" spans="1:9">
      <c r="A66" s="1">
        <v>45413</v>
      </c>
      <c r="B66" s="1" t="s">
        <v>9</v>
      </c>
      <c r="C66" s="1" t="s">
        <v>12</v>
      </c>
      <c r="D66">
        <f t="shared" ca="1" si="7"/>
        <v>9200</v>
      </c>
      <c r="E66">
        <f t="shared" ca="1" si="1"/>
        <v>92</v>
      </c>
      <c r="F66">
        <f t="shared" ca="1" si="2"/>
        <v>2024</v>
      </c>
      <c r="G66">
        <f t="shared" ca="1" si="3"/>
        <v>1564</v>
      </c>
      <c r="H66">
        <f t="shared" ca="1" si="4"/>
        <v>14388</v>
      </c>
      <c r="I66">
        <f t="shared" ca="1" si="5"/>
        <v>108</v>
      </c>
    </row>
    <row r="67" spans="1:9">
      <c r="A67" s="1">
        <v>45444</v>
      </c>
      <c r="B67" s="1" t="s">
        <v>9</v>
      </c>
      <c r="C67" s="1" t="s">
        <v>12</v>
      </c>
      <c r="D67">
        <f t="shared" ca="1" si="7"/>
        <v>12800</v>
      </c>
      <c r="E67">
        <f t="shared" ref="E67:E73" ca="1" si="8">RANDBETWEEN(0,300)</f>
        <v>128</v>
      </c>
      <c r="F67">
        <f t="shared" ref="F67:F73" ca="1" si="9">D67*RANDBETWEEN(10,30)/100</f>
        <v>1664</v>
      </c>
      <c r="G67">
        <f t="shared" ref="G67:G73" ca="1" si="10">D67*RANDBETWEEN(10,30)/100</f>
        <v>2176</v>
      </c>
      <c r="H67">
        <f t="shared" ref="H67:H73" ca="1" si="11">I67*100+F67+G67</f>
        <v>13740</v>
      </c>
      <c r="I67">
        <f t="shared" ref="I67:I73" ca="1" si="12">RANDBETWEEN(-30,30)+E67</f>
        <v>99</v>
      </c>
    </row>
    <row r="68" spans="1:9">
      <c r="A68" s="1">
        <v>45474</v>
      </c>
      <c r="B68" s="1" t="s">
        <v>9</v>
      </c>
      <c r="C68" s="1" t="s">
        <v>12</v>
      </c>
      <c r="D68">
        <f t="shared" ca="1" si="7"/>
        <v>6400</v>
      </c>
      <c r="E68">
        <f t="shared" ca="1" si="8"/>
        <v>64</v>
      </c>
      <c r="F68">
        <f t="shared" ca="1" si="9"/>
        <v>704</v>
      </c>
      <c r="G68">
        <f t="shared" ca="1" si="10"/>
        <v>640</v>
      </c>
      <c r="H68">
        <f t="shared" ca="1" si="11"/>
        <v>7544</v>
      </c>
      <c r="I68">
        <f t="shared" ca="1" si="12"/>
        <v>62</v>
      </c>
    </row>
    <row r="69" spans="1:9">
      <c r="A69" s="1">
        <v>45505</v>
      </c>
      <c r="B69" s="1" t="s">
        <v>9</v>
      </c>
      <c r="C69" s="1" t="s">
        <v>12</v>
      </c>
      <c r="D69">
        <f t="shared" ca="1" si="7"/>
        <v>28000</v>
      </c>
      <c r="E69">
        <f t="shared" ca="1" si="8"/>
        <v>280</v>
      </c>
      <c r="F69">
        <f t="shared" ca="1" si="9"/>
        <v>5320</v>
      </c>
      <c r="G69">
        <f t="shared" ca="1" si="10"/>
        <v>4480</v>
      </c>
      <c r="H69">
        <f t="shared" ca="1" si="11"/>
        <v>35400</v>
      </c>
      <c r="I69">
        <f t="shared" ca="1" si="12"/>
        <v>256</v>
      </c>
    </row>
    <row r="70" spans="1:9">
      <c r="A70" s="1">
        <v>45536</v>
      </c>
      <c r="B70" s="1" t="s">
        <v>9</v>
      </c>
      <c r="C70" s="1" t="s">
        <v>12</v>
      </c>
      <c r="D70">
        <f t="shared" ca="1" si="7"/>
        <v>4800</v>
      </c>
      <c r="E70">
        <f t="shared" ca="1" si="8"/>
        <v>48</v>
      </c>
      <c r="F70">
        <f t="shared" ca="1" si="9"/>
        <v>672</v>
      </c>
      <c r="G70">
        <f t="shared" ca="1" si="10"/>
        <v>576</v>
      </c>
      <c r="H70">
        <f t="shared" ca="1" si="11"/>
        <v>6548</v>
      </c>
      <c r="I70">
        <f t="shared" ca="1" si="12"/>
        <v>53</v>
      </c>
    </row>
    <row r="71" spans="1:9">
      <c r="A71" s="1">
        <v>45566</v>
      </c>
      <c r="B71" s="1" t="s">
        <v>9</v>
      </c>
      <c r="C71" s="1" t="s">
        <v>12</v>
      </c>
      <c r="D71">
        <f t="shared" ca="1" si="7"/>
        <v>30000</v>
      </c>
      <c r="E71">
        <f t="shared" ca="1" si="8"/>
        <v>300</v>
      </c>
      <c r="F71">
        <f t="shared" ca="1" si="9"/>
        <v>3000</v>
      </c>
      <c r="G71">
        <f t="shared" ca="1" si="10"/>
        <v>7200</v>
      </c>
      <c r="H71">
        <f t="shared" ca="1" si="11"/>
        <v>41600</v>
      </c>
      <c r="I71">
        <f t="shared" ca="1" si="12"/>
        <v>314</v>
      </c>
    </row>
    <row r="72" spans="1:9">
      <c r="A72" s="1">
        <v>45597</v>
      </c>
      <c r="B72" s="1" t="s">
        <v>9</v>
      </c>
      <c r="C72" s="1" t="s">
        <v>12</v>
      </c>
      <c r="D72">
        <f t="shared" ca="1" si="7"/>
        <v>8200</v>
      </c>
      <c r="E72">
        <f t="shared" ca="1" si="8"/>
        <v>82</v>
      </c>
      <c r="F72">
        <f t="shared" ca="1" si="9"/>
        <v>1886</v>
      </c>
      <c r="G72">
        <f t="shared" ca="1" si="10"/>
        <v>1230</v>
      </c>
      <c r="H72">
        <f t="shared" ca="1" si="11"/>
        <v>9716</v>
      </c>
      <c r="I72">
        <f t="shared" ca="1" si="12"/>
        <v>66</v>
      </c>
    </row>
    <row r="73" spans="1:9">
      <c r="A73" s="1">
        <v>45627</v>
      </c>
      <c r="B73" s="1" t="s">
        <v>9</v>
      </c>
      <c r="C73" s="1" t="s">
        <v>12</v>
      </c>
      <c r="D73">
        <f t="shared" ca="1" si="7"/>
        <v>20500</v>
      </c>
      <c r="E73">
        <f t="shared" ca="1" si="8"/>
        <v>205</v>
      </c>
      <c r="F73">
        <f t="shared" ca="1" si="9"/>
        <v>2050</v>
      </c>
      <c r="G73">
        <f t="shared" ca="1" si="10"/>
        <v>5330</v>
      </c>
      <c r="H73">
        <f t="shared" ca="1" si="11"/>
        <v>30880</v>
      </c>
      <c r="I73">
        <f t="shared" ca="1" si="12"/>
        <v>235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>
      <selection activeCell="A2" sqref="A2"/>
    </sheetView>
  </sheetViews>
  <sheetFormatPr defaultRowHeight="14.5"/>
  <cols>
    <col min="1" max="1" width="10.7265625" bestFit="1" customWidth="1"/>
  </cols>
  <sheetData>
    <row r="1" spans="1:1">
      <c r="A1" t="s">
        <v>13</v>
      </c>
    </row>
    <row r="2" spans="1:1">
      <c r="A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>
      <selection activeCell="H16" sqref="H16"/>
    </sheetView>
  </sheetViews>
  <sheetFormatPr defaultRowHeight="14.5"/>
  <cols>
    <col min="1" max="1" width="10.6328125" bestFit="1" customWidth="1"/>
  </cols>
  <sheetData>
    <row r="1" spans="1:1">
      <c r="A1" t="s">
        <v>15</v>
      </c>
    </row>
    <row r="2" spans="1:1">
      <c r="A2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"/>
  <sheetViews>
    <sheetView workbookViewId="0">
      <selection activeCell="H1" sqref="H1"/>
    </sheetView>
  </sheetViews>
  <sheetFormatPr defaultRowHeight="14.5"/>
  <cols>
    <col min="4" max="4" width="16.7265625" customWidth="1"/>
    <col min="6" max="6" width="18.6328125" customWidth="1"/>
    <col min="8" max="8" width="16.26953125" customWidth="1"/>
    <col min="10" max="10" width="17.26953125" customWidth="1"/>
  </cols>
  <sheetData>
    <row r="1" spans="1:11">
      <c r="A1" t="s">
        <v>16</v>
      </c>
      <c r="B1" t="s">
        <v>17</v>
      </c>
      <c r="C1" t="s">
        <v>18</v>
      </c>
      <c r="D1" t="s">
        <v>19</v>
      </c>
      <c r="E1" t="s">
        <v>18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23</v>
      </c>
    </row>
    <row r="2" spans="1:11">
      <c r="A2" s="2" t="s">
        <v>25</v>
      </c>
      <c r="B2" s="2" t="s">
        <v>26</v>
      </c>
      <c r="C2" s="2">
        <v>2.5</v>
      </c>
      <c r="D2" s="2" t="s">
        <v>26</v>
      </c>
      <c r="E2" s="2">
        <v>2.5</v>
      </c>
      <c r="F2" s="2" t="s">
        <v>27</v>
      </c>
      <c r="G2">
        <v>12.4</v>
      </c>
      <c r="H2" t="s">
        <v>28</v>
      </c>
      <c r="I2">
        <v>15.5</v>
      </c>
      <c r="J2" t="s">
        <v>28</v>
      </c>
      <c r="K2">
        <v>15.5</v>
      </c>
    </row>
    <row r="3" spans="1:11">
      <c r="A3" s="2" t="s">
        <v>29</v>
      </c>
      <c r="B3" s="2" t="s">
        <v>30</v>
      </c>
      <c r="C3" s="2">
        <v>2.5</v>
      </c>
      <c r="D3" s="2" t="s">
        <v>30</v>
      </c>
      <c r="E3" s="2">
        <v>2.5</v>
      </c>
      <c r="F3" s="2" t="s">
        <v>31</v>
      </c>
      <c r="G3">
        <v>12.4</v>
      </c>
      <c r="H3" t="s">
        <v>32</v>
      </c>
      <c r="I3">
        <v>15.5</v>
      </c>
      <c r="J3" t="s">
        <v>32</v>
      </c>
      <c r="K3">
        <v>15.5</v>
      </c>
    </row>
    <row r="4" spans="1:11">
      <c r="A4" s="2" t="s">
        <v>33</v>
      </c>
      <c r="B4" s="2" t="s">
        <v>34</v>
      </c>
      <c r="C4" s="2">
        <v>2.5</v>
      </c>
      <c r="D4" s="2" t="s">
        <v>34</v>
      </c>
      <c r="E4" s="2">
        <v>2.5</v>
      </c>
      <c r="F4" s="2" t="s">
        <v>35</v>
      </c>
      <c r="G4">
        <v>12.4</v>
      </c>
      <c r="H4" t="s">
        <v>36</v>
      </c>
      <c r="I4">
        <v>15.5</v>
      </c>
      <c r="J4" t="s">
        <v>36</v>
      </c>
      <c r="K4">
        <v>15.5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1"/>
  <sheetViews>
    <sheetView workbookViewId="0">
      <selection activeCell="H18" sqref="H18"/>
    </sheetView>
  </sheetViews>
  <sheetFormatPr defaultRowHeight="14.5"/>
  <cols>
    <col min="1" max="1" width="12.90625" customWidth="1"/>
    <col min="3" max="3" width="19" customWidth="1"/>
    <col min="6" max="6" width="12.6328125" bestFit="1" customWidth="1"/>
  </cols>
  <sheetData>
    <row r="1" spans="1:6" ht="28">
      <c r="A1" s="3" t="s">
        <v>37</v>
      </c>
      <c r="B1" s="3" t="s">
        <v>38</v>
      </c>
      <c r="C1" s="3" t="s">
        <v>39</v>
      </c>
      <c r="D1" s="3" t="s">
        <v>40</v>
      </c>
      <c r="E1" s="3" t="s">
        <v>41</v>
      </c>
      <c r="F1" s="3" t="s">
        <v>42</v>
      </c>
    </row>
    <row r="2" spans="1:6">
      <c r="A2" s="4" t="s">
        <v>43</v>
      </c>
      <c r="B2" s="5">
        <v>100</v>
      </c>
      <c r="C2" s="6">
        <v>45412</v>
      </c>
      <c r="D2" s="7">
        <v>0.1</v>
      </c>
      <c r="E2" s="7">
        <v>0.1</v>
      </c>
      <c r="F2" s="5" t="s">
        <v>53</v>
      </c>
    </row>
    <row r="3" spans="1:6">
      <c r="A3" s="4" t="s">
        <v>44</v>
      </c>
      <c r="B3" s="5">
        <v>100</v>
      </c>
      <c r="C3" s="6">
        <v>45412</v>
      </c>
      <c r="D3" s="7">
        <v>0.1</v>
      </c>
      <c r="E3" s="7">
        <v>0.1</v>
      </c>
      <c r="F3" s="5" t="s">
        <v>10</v>
      </c>
    </row>
    <row r="4" spans="1:6">
      <c r="A4" s="4" t="s">
        <v>45</v>
      </c>
      <c r="B4" s="5">
        <v>100</v>
      </c>
      <c r="C4" s="6">
        <v>45412</v>
      </c>
      <c r="D4" s="7">
        <v>0.1</v>
      </c>
      <c r="E4" s="7">
        <v>0.1</v>
      </c>
      <c r="F4" s="5" t="s">
        <v>10</v>
      </c>
    </row>
    <row r="5" spans="1:6">
      <c r="A5" s="4" t="s">
        <v>46</v>
      </c>
      <c r="B5" s="5">
        <v>100</v>
      </c>
      <c r="C5" s="6">
        <v>45777</v>
      </c>
      <c r="D5" s="7">
        <v>0.1</v>
      </c>
      <c r="E5" s="7">
        <v>0.1</v>
      </c>
      <c r="F5" s="5" t="s">
        <v>10</v>
      </c>
    </row>
    <row r="6" spans="1:6">
      <c r="A6" s="4" t="s">
        <v>47</v>
      </c>
      <c r="B6" s="5">
        <v>100</v>
      </c>
      <c r="C6" s="6">
        <v>45412</v>
      </c>
      <c r="D6" s="7">
        <v>0.1</v>
      </c>
      <c r="E6" s="7">
        <v>0.1</v>
      </c>
      <c r="F6" s="5" t="s">
        <v>54</v>
      </c>
    </row>
    <row r="7" spans="1:6">
      <c r="A7" s="4" t="s">
        <v>48</v>
      </c>
      <c r="B7" s="5">
        <v>100</v>
      </c>
      <c r="C7" s="6">
        <v>45473</v>
      </c>
      <c r="D7" s="7">
        <v>0.1</v>
      </c>
      <c r="E7" s="7">
        <v>0.1</v>
      </c>
      <c r="F7" s="5" t="s">
        <v>54</v>
      </c>
    </row>
    <row r="8" spans="1:6">
      <c r="A8" s="4" t="s">
        <v>49</v>
      </c>
      <c r="B8" s="5">
        <v>100</v>
      </c>
      <c r="C8" s="6">
        <v>45412</v>
      </c>
      <c r="D8" s="7">
        <v>0.1</v>
      </c>
      <c r="E8" s="7">
        <v>0.1</v>
      </c>
      <c r="F8" s="5" t="s">
        <v>54</v>
      </c>
    </row>
    <row r="9" spans="1:6">
      <c r="A9" s="4" t="s">
        <v>50</v>
      </c>
      <c r="B9" s="5">
        <v>100</v>
      </c>
      <c r="C9" s="6">
        <v>45412</v>
      </c>
      <c r="D9" s="7">
        <v>0.1</v>
      </c>
      <c r="E9" s="7">
        <v>0.1</v>
      </c>
      <c r="F9" s="5" t="s">
        <v>55</v>
      </c>
    </row>
    <row r="10" spans="1:6">
      <c r="A10" s="4" t="s">
        <v>51</v>
      </c>
      <c r="B10" s="5">
        <v>100</v>
      </c>
      <c r="C10" s="6">
        <v>45412</v>
      </c>
      <c r="D10" s="7">
        <v>0.1</v>
      </c>
      <c r="E10" s="7">
        <v>0.1</v>
      </c>
      <c r="F10" s="5" t="s">
        <v>55</v>
      </c>
    </row>
    <row r="11" spans="1:6">
      <c r="A11" s="3" t="s">
        <v>52</v>
      </c>
      <c r="B11" s="8">
        <v>100</v>
      </c>
      <c r="C11" s="9">
        <v>45412</v>
      </c>
      <c r="D11" s="10">
        <v>0.1</v>
      </c>
      <c r="E11" s="10">
        <v>0.1</v>
      </c>
      <c r="F11" s="5" t="s">
        <v>55</v>
      </c>
    </row>
  </sheetData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"/>
  <sheetViews>
    <sheetView workbookViewId="0">
      <selection activeCell="B7" sqref="B7"/>
    </sheetView>
  </sheetViews>
  <sheetFormatPr defaultRowHeight="14.5"/>
  <cols>
    <col min="1" max="1" width="10.7265625" bestFit="1" customWidth="1"/>
    <col min="4" max="5" width="9.81640625" bestFit="1" customWidth="1"/>
    <col min="6" max="6" width="10.453125" bestFit="1" customWidth="1"/>
    <col min="7" max="7" width="10.6328125" bestFit="1" customWidth="1"/>
  </cols>
  <sheetData>
    <row r="1" spans="1:7" ht="28">
      <c r="A1" s="13" t="s">
        <v>75</v>
      </c>
      <c r="B1" s="14" t="s">
        <v>66</v>
      </c>
      <c r="C1" s="14" t="s">
        <v>67</v>
      </c>
      <c r="D1" s="14" t="s">
        <v>68</v>
      </c>
      <c r="E1" s="14" t="s">
        <v>69</v>
      </c>
      <c r="F1" s="14" t="s">
        <v>70</v>
      </c>
      <c r="G1" s="14" t="s">
        <v>71</v>
      </c>
    </row>
    <row r="2" spans="1:7">
      <c r="A2" s="17" t="s">
        <v>72</v>
      </c>
      <c r="B2" s="11">
        <v>100</v>
      </c>
      <c r="C2" s="18">
        <v>0.1</v>
      </c>
      <c r="D2" s="19">
        <v>45</v>
      </c>
      <c r="E2" s="20">
        <v>0.1</v>
      </c>
      <c r="F2" s="19">
        <v>34</v>
      </c>
      <c r="G2" s="20">
        <v>0.1</v>
      </c>
    </row>
    <row r="3" spans="1:7">
      <c r="A3" s="17" t="s">
        <v>73</v>
      </c>
      <c r="B3" s="11">
        <v>100</v>
      </c>
      <c r="C3" s="18">
        <v>0.1</v>
      </c>
      <c r="D3" s="19">
        <v>85</v>
      </c>
      <c r="E3" s="20">
        <v>0.1</v>
      </c>
      <c r="F3" s="19">
        <v>45</v>
      </c>
      <c r="G3" s="20">
        <v>0.1</v>
      </c>
    </row>
    <row r="4" spans="1:7" ht="28">
      <c r="A4" s="17" t="s">
        <v>74</v>
      </c>
      <c r="B4" s="11">
        <v>100</v>
      </c>
      <c r="C4" s="18">
        <v>0.1</v>
      </c>
      <c r="D4" s="19">
        <v>56</v>
      </c>
      <c r="E4" s="20">
        <v>0.1</v>
      </c>
      <c r="F4" s="19">
        <v>55</v>
      </c>
      <c r="G4" s="20">
        <v>0.1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"/>
  <sheetViews>
    <sheetView workbookViewId="0">
      <selection activeCell="G14" sqref="G14"/>
    </sheetView>
  </sheetViews>
  <sheetFormatPr defaultRowHeight="14.5"/>
  <sheetData>
    <row r="1" spans="1:8" ht="70">
      <c r="A1" s="28" t="s">
        <v>104</v>
      </c>
      <c r="B1" s="11" t="s">
        <v>67</v>
      </c>
      <c r="C1" s="11" t="s">
        <v>105</v>
      </c>
      <c r="D1" s="11" t="s">
        <v>106</v>
      </c>
      <c r="E1" s="11" t="s">
        <v>107</v>
      </c>
      <c r="F1" s="11" t="s">
        <v>108</v>
      </c>
      <c r="G1" s="11" t="s">
        <v>109</v>
      </c>
      <c r="H1" s="11" t="s">
        <v>110</v>
      </c>
    </row>
    <row r="2" spans="1:8">
      <c r="A2" s="4" t="s">
        <v>111</v>
      </c>
      <c r="B2" s="29">
        <v>2.5000000000000001E-2</v>
      </c>
      <c r="C2" s="30">
        <f ca="1">RANDBETWEEN(100,1000)</f>
        <v>455</v>
      </c>
      <c r="D2" s="30">
        <f ca="1">RANDBETWEEN(100,1000)</f>
        <v>481</v>
      </c>
      <c r="E2" s="31">
        <f ca="1">C2/D2</f>
        <v>0.94594594594594594</v>
      </c>
      <c r="F2" s="30">
        <f t="shared" ref="F2:G6" ca="1" si="0">RANDBETWEEN(100,1000)</f>
        <v>816</v>
      </c>
      <c r="G2" s="30">
        <f t="shared" ca="1" si="0"/>
        <v>570</v>
      </c>
      <c r="H2" s="31">
        <f ca="1">F2/G2</f>
        <v>1.4315789473684211</v>
      </c>
    </row>
    <row r="3" spans="1:8">
      <c r="A3" s="4" t="s">
        <v>112</v>
      </c>
      <c r="B3" s="29">
        <v>2.5000000000000001E-2</v>
      </c>
      <c r="C3" s="30">
        <f t="shared" ref="C3:D6" ca="1" si="1">RANDBETWEEN(100,1000)</f>
        <v>703</v>
      </c>
      <c r="D3" s="30">
        <f t="shared" ca="1" si="1"/>
        <v>443</v>
      </c>
      <c r="E3" s="31">
        <f ca="1">C3/D3</f>
        <v>1.5869074492099322</v>
      </c>
      <c r="F3" s="30">
        <f t="shared" ca="1" si="0"/>
        <v>794</v>
      </c>
      <c r="G3" s="30">
        <f t="shared" ca="1" si="0"/>
        <v>138</v>
      </c>
      <c r="H3" s="31">
        <f ca="1">F3/G3</f>
        <v>5.7536231884057969</v>
      </c>
    </row>
    <row r="4" spans="1:8">
      <c r="A4" s="4" t="s">
        <v>113</v>
      </c>
      <c r="B4" s="29">
        <v>2.5000000000000001E-2</v>
      </c>
      <c r="C4" s="30">
        <f t="shared" ca="1" si="1"/>
        <v>132</v>
      </c>
      <c r="D4" s="30">
        <f t="shared" ca="1" si="1"/>
        <v>812</v>
      </c>
      <c r="E4" s="31">
        <f ca="1">C4/D4</f>
        <v>0.1625615763546798</v>
      </c>
      <c r="F4" s="30">
        <f t="shared" ca="1" si="0"/>
        <v>663</v>
      </c>
      <c r="G4" s="30">
        <f t="shared" ca="1" si="0"/>
        <v>495</v>
      </c>
      <c r="H4" s="31">
        <f ca="1">F4/G4</f>
        <v>1.3393939393939394</v>
      </c>
    </row>
    <row r="5" spans="1:8">
      <c r="A5" s="4" t="s">
        <v>114</v>
      </c>
      <c r="B5" s="29">
        <v>2.5000000000000001E-2</v>
      </c>
      <c r="C5" s="30">
        <f t="shared" ca="1" si="1"/>
        <v>612</v>
      </c>
      <c r="D5" s="30">
        <f t="shared" ca="1" si="1"/>
        <v>380</v>
      </c>
      <c r="E5" s="31">
        <f ca="1">C5/D5</f>
        <v>1.6105263157894736</v>
      </c>
      <c r="F5" s="30">
        <f t="shared" ca="1" si="0"/>
        <v>567</v>
      </c>
      <c r="G5" s="30">
        <f t="shared" ca="1" si="0"/>
        <v>339</v>
      </c>
      <c r="H5" s="31">
        <f ca="1">F5/G5</f>
        <v>1.6725663716814159</v>
      </c>
    </row>
    <row r="6" spans="1:8">
      <c r="A6" s="4" t="s">
        <v>115</v>
      </c>
      <c r="B6" s="29">
        <v>2.5000000000000001E-2</v>
      </c>
      <c r="C6" s="30">
        <f t="shared" ca="1" si="1"/>
        <v>598</v>
      </c>
      <c r="D6" s="30">
        <f t="shared" ca="1" si="1"/>
        <v>746</v>
      </c>
      <c r="E6" s="31">
        <f ca="1">C6/D6</f>
        <v>0.80160857908847183</v>
      </c>
      <c r="F6" s="30">
        <f t="shared" ca="1" si="0"/>
        <v>351</v>
      </c>
      <c r="G6" s="30">
        <f t="shared" ca="1" si="0"/>
        <v>725</v>
      </c>
      <c r="H6" s="31">
        <f ca="1">F6/G6</f>
        <v>0.48413793103448277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6"/>
  <sheetViews>
    <sheetView workbookViewId="0">
      <selection activeCell="E18" sqref="E18"/>
    </sheetView>
  </sheetViews>
  <sheetFormatPr defaultRowHeight="14.5"/>
  <cols>
    <col min="1" max="1" width="14.54296875" bestFit="1" customWidth="1"/>
  </cols>
  <sheetData>
    <row r="1" spans="1:4" ht="56">
      <c r="A1" s="24" t="s">
        <v>76</v>
      </c>
      <c r="B1" s="24" t="s">
        <v>103</v>
      </c>
      <c r="C1" s="24" t="s">
        <v>19</v>
      </c>
      <c r="D1" s="24" t="s">
        <v>116</v>
      </c>
    </row>
    <row r="2" spans="1:4">
      <c r="A2" t="s">
        <v>93</v>
      </c>
      <c r="B2" s="32">
        <v>44</v>
      </c>
      <c r="C2" s="19">
        <f ca="1">RANDBETWEEN(20,70)</f>
        <v>24</v>
      </c>
      <c r="D2" s="19">
        <f ca="1">RANDBETWEEN(20,70)</f>
        <v>20</v>
      </c>
    </row>
    <row r="3" spans="1:4">
      <c r="A3" t="s">
        <v>94</v>
      </c>
      <c r="B3" s="32">
        <v>55</v>
      </c>
      <c r="C3" s="19">
        <f t="shared" ref="C3:D6" ca="1" si="0">RANDBETWEEN(20,70)</f>
        <v>48</v>
      </c>
      <c r="D3" s="19">
        <f t="shared" ca="1" si="0"/>
        <v>33</v>
      </c>
    </row>
    <row r="4" spans="1:4">
      <c r="A4" t="s">
        <v>95</v>
      </c>
      <c r="B4" s="32">
        <v>66</v>
      </c>
      <c r="C4" s="19">
        <f t="shared" ca="1" si="0"/>
        <v>26</v>
      </c>
      <c r="D4" s="19">
        <f t="shared" ca="1" si="0"/>
        <v>31</v>
      </c>
    </row>
    <row r="5" spans="1:4">
      <c r="A5" t="s">
        <v>96</v>
      </c>
      <c r="B5" s="32">
        <v>77</v>
      </c>
      <c r="C5" s="19">
        <f t="shared" ca="1" si="0"/>
        <v>60</v>
      </c>
      <c r="D5" s="19">
        <f t="shared" ca="1" si="0"/>
        <v>22</v>
      </c>
    </row>
    <row r="6" spans="1:4">
      <c r="A6" t="s">
        <v>97</v>
      </c>
      <c r="B6" s="32">
        <v>44</v>
      </c>
      <c r="C6" s="19">
        <f t="shared" ca="1" si="0"/>
        <v>69</v>
      </c>
      <c r="D6" s="19">
        <f t="shared" ca="1" si="0"/>
        <v>46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6"/>
  <sheetViews>
    <sheetView workbookViewId="0">
      <selection activeCell="E15" sqref="E15"/>
    </sheetView>
  </sheetViews>
  <sheetFormatPr defaultRowHeight="14.5"/>
  <cols>
    <col min="1" max="1" width="14.54296875" bestFit="1" customWidth="1"/>
  </cols>
  <sheetData>
    <row r="1" spans="1:11" ht="28">
      <c r="A1" s="24" t="s">
        <v>76</v>
      </c>
      <c r="B1" s="24" t="s">
        <v>85</v>
      </c>
      <c r="C1" s="24" t="s">
        <v>86</v>
      </c>
      <c r="D1" s="24" t="s">
        <v>117</v>
      </c>
      <c r="E1" s="24" t="s">
        <v>118</v>
      </c>
      <c r="F1" s="24" t="s">
        <v>87</v>
      </c>
      <c r="G1" s="24" t="s">
        <v>88</v>
      </c>
      <c r="H1" s="24" t="s">
        <v>89</v>
      </c>
      <c r="I1" s="24" t="s">
        <v>90</v>
      </c>
      <c r="J1" s="24" t="s">
        <v>91</v>
      </c>
      <c r="K1" s="25" t="s">
        <v>92</v>
      </c>
    </row>
    <row r="2" spans="1:11">
      <c r="A2" t="s">
        <v>93</v>
      </c>
      <c r="B2" s="11">
        <v>100</v>
      </c>
      <c r="C2" s="18">
        <v>0.1</v>
      </c>
      <c r="D2" s="11">
        <v>100</v>
      </c>
      <c r="E2" s="20">
        <v>0.1</v>
      </c>
      <c r="F2" s="19">
        <f ca="1">RANDBETWEEN(B2 - B2/10, B2)</f>
        <v>91</v>
      </c>
      <c r="G2" s="20">
        <v>0.1</v>
      </c>
      <c r="H2" s="19">
        <f ca="1">RANDBETWEEN(F2 - F2/10, F2)</f>
        <v>86</v>
      </c>
      <c r="I2" s="26">
        <v>0.1</v>
      </c>
      <c r="J2" s="19">
        <f ca="1">RANDBETWEEN(H2 - H2/10, H2)</f>
        <v>79</v>
      </c>
      <c r="K2" s="27">
        <v>0.1</v>
      </c>
    </row>
    <row r="3" spans="1:11">
      <c r="A3" t="s">
        <v>94</v>
      </c>
      <c r="B3" s="11">
        <v>200</v>
      </c>
      <c r="C3" s="18">
        <v>0.1</v>
      </c>
      <c r="D3" s="11">
        <v>200</v>
      </c>
      <c r="E3" s="20">
        <v>0.1</v>
      </c>
      <c r="F3" s="19">
        <f ca="1">RANDBETWEEN(B3 - B3/10, B3)</f>
        <v>197</v>
      </c>
      <c r="G3" s="20">
        <v>0.1</v>
      </c>
      <c r="H3" s="19">
        <f ca="1">RANDBETWEEN(F3 - F3/10, F3)</f>
        <v>178</v>
      </c>
      <c r="I3" s="26">
        <v>0.1</v>
      </c>
      <c r="J3" s="19">
        <f ca="1">RANDBETWEEN(H3 - H3/10, H3)</f>
        <v>178</v>
      </c>
      <c r="K3" s="27">
        <v>0.1</v>
      </c>
    </row>
    <row r="4" spans="1:11">
      <c r="A4" t="s">
        <v>95</v>
      </c>
      <c r="B4" s="11">
        <v>100</v>
      </c>
      <c r="C4" s="18">
        <v>0.1</v>
      </c>
      <c r="D4" s="11">
        <v>100</v>
      </c>
      <c r="E4" s="20">
        <v>0.1</v>
      </c>
      <c r="F4" s="19">
        <f ca="1">RANDBETWEEN(B4 - B4/10, B4)</f>
        <v>91</v>
      </c>
      <c r="G4" s="20">
        <v>0.1</v>
      </c>
      <c r="H4" s="19">
        <f ca="1">RANDBETWEEN(F4 - F4/10, F4)</f>
        <v>91</v>
      </c>
      <c r="I4" s="26">
        <v>0.1</v>
      </c>
      <c r="J4" s="19">
        <f ca="1">RANDBETWEEN(H4 - H4/10, H4)</f>
        <v>83</v>
      </c>
      <c r="K4" s="27">
        <v>0.1</v>
      </c>
    </row>
    <row r="5" spans="1:11">
      <c r="A5" t="s">
        <v>96</v>
      </c>
      <c r="B5" s="11">
        <v>200</v>
      </c>
      <c r="C5" s="18">
        <v>0.1</v>
      </c>
      <c r="D5" s="11">
        <v>200</v>
      </c>
      <c r="E5" s="20">
        <v>0.1</v>
      </c>
      <c r="F5" s="19">
        <f ca="1">RANDBETWEEN(B5 - B5/10, B5)</f>
        <v>185</v>
      </c>
      <c r="G5" s="20">
        <v>0.1</v>
      </c>
      <c r="H5" s="19">
        <f ca="1">RANDBETWEEN(F5 - F5/10, F5)</f>
        <v>178</v>
      </c>
      <c r="I5" s="26">
        <v>0.1</v>
      </c>
      <c r="J5" s="19">
        <f ca="1">RANDBETWEEN(H5 - H5/10, H5)</f>
        <v>161</v>
      </c>
      <c r="K5" s="27">
        <v>0.1</v>
      </c>
    </row>
    <row r="6" spans="1:11">
      <c r="A6" t="s">
        <v>97</v>
      </c>
      <c r="B6" s="11">
        <v>300</v>
      </c>
      <c r="C6" s="18">
        <v>0.1</v>
      </c>
      <c r="D6" s="11">
        <v>300</v>
      </c>
      <c r="E6" s="20">
        <v>0.1</v>
      </c>
      <c r="F6" s="19">
        <f ca="1">RANDBETWEEN(B6 - B6/10, B6)</f>
        <v>298</v>
      </c>
      <c r="G6" s="20">
        <v>0.1</v>
      </c>
      <c r="H6" s="19">
        <f ca="1">RANDBETWEEN(F6 - F6/10, F6)</f>
        <v>279</v>
      </c>
      <c r="I6" s="26">
        <v>0.1</v>
      </c>
      <c r="J6" s="19">
        <f ca="1">RANDBETWEEN(H6 - H6/10, H6)</f>
        <v>252</v>
      </c>
      <c r="K6" s="27">
        <v>0.1</v>
      </c>
    </row>
  </sheetData>
  <pageMargins left="0.7" right="0.7" top="0.75" bottom="0.75" header="0.3" footer="0.3"/>
  <pageSetup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6"/>
  <sheetViews>
    <sheetView topLeftCell="B1" workbookViewId="0">
      <selection activeCell="I17" sqref="I17"/>
    </sheetView>
  </sheetViews>
  <sheetFormatPr defaultRowHeight="14.5"/>
  <cols>
    <col min="1" max="1" width="16.81640625" customWidth="1"/>
  </cols>
  <sheetData>
    <row r="1" spans="1:11" ht="28">
      <c r="A1" s="13" t="s">
        <v>37</v>
      </c>
      <c r="B1" s="14" t="s">
        <v>56</v>
      </c>
      <c r="C1" s="14" t="s">
        <v>57</v>
      </c>
      <c r="D1" s="14" t="s">
        <v>58</v>
      </c>
      <c r="E1" s="14" t="s">
        <v>59</v>
      </c>
      <c r="F1" s="14" t="s">
        <v>60</v>
      </c>
      <c r="G1" s="15" t="s">
        <v>61</v>
      </c>
      <c r="H1" s="15" t="s">
        <v>62</v>
      </c>
      <c r="I1" s="15" t="s">
        <v>63</v>
      </c>
      <c r="J1" s="15" t="s">
        <v>64</v>
      </c>
      <c r="K1" s="16" t="s">
        <v>65</v>
      </c>
    </row>
    <row r="2" spans="1:11">
      <c r="A2" s="17" t="s">
        <v>43</v>
      </c>
      <c r="B2" s="11">
        <v>400</v>
      </c>
      <c r="C2" s="18">
        <v>0.1</v>
      </c>
      <c r="D2" s="11">
        <v>400</v>
      </c>
      <c r="E2" s="11">
        <v>400</v>
      </c>
      <c r="F2" s="18">
        <v>0.1</v>
      </c>
      <c r="G2" s="18">
        <v>0.1</v>
      </c>
      <c r="H2" s="11">
        <v>400</v>
      </c>
      <c r="I2" s="12">
        <f ca="1">RANDBETWEEN(10, 400)</f>
        <v>20</v>
      </c>
      <c r="J2" s="12">
        <f t="shared" ref="J2:K6" ca="1" si="0">RANDBETWEEN(10, 400)</f>
        <v>360</v>
      </c>
      <c r="K2" s="12">
        <f t="shared" ca="1" si="0"/>
        <v>303</v>
      </c>
    </row>
    <row r="3" spans="1:11">
      <c r="A3" s="17" t="s">
        <v>44</v>
      </c>
      <c r="B3" s="11">
        <v>400</v>
      </c>
      <c r="C3" s="18">
        <v>0.1</v>
      </c>
      <c r="D3" s="11">
        <v>400</v>
      </c>
      <c r="E3" s="11">
        <v>400</v>
      </c>
      <c r="F3" s="18">
        <v>0.1</v>
      </c>
      <c r="G3" s="18">
        <v>0.1</v>
      </c>
      <c r="H3" s="11">
        <v>400</v>
      </c>
      <c r="I3" s="12">
        <f ca="1">RANDBETWEEN(10, 400)</f>
        <v>359</v>
      </c>
      <c r="J3" s="12">
        <f t="shared" ca="1" si="0"/>
        <v>28</v>
      </c>
      <c r="K3" s="12">
        <f t="shared" ca="1" si="0"/>
        <v>106</v>
      </c>
    </row>
    <row r="4" spans="1:11">
      <c r="A4" s="17" t="s">
        <v>45</v>
      </c>
      <c r="B4" s="11">
        <v>400</v>
      </c>
      <c r="C4" s="18">
        <v>0.1</v>
      </c>
      <c r="D4" s="11">
        <v>400</v>
      </c>
      <c r="E4" s="11">
        <v>400</v>
      </c>
      <c r="F4" s="18">
        <v>0.1</v>
      </c>
      <c r="G4" s="18">
        <v>0.1</v>
      </c>
      <c r="H4" s="11">
        <v>400</v>
      </c>
      <c r="I4" s="12">
        <f ca="1">RANDBETWEEN(10, 400)</f>
        <v>94</v>
      </c>
      <c r="J4" s="12">
        <f t="shared" ca="1" si="0"/>
        <v>189</v>
      </c>
      <c r="K4" s="12">
        <f t="shared" ca="1" si="0"/>
        <v>177</v>
      </c>
    </row>
    <row r="5" spans="1:11">
      <c r="A5" s="17" t="s">
        <v>46</v>
      </c>
      <c r="B5" s="11">
        <v>400</v>
      </c>
      <c r="C5" s="18">
        <v>0.1</v>
      </c>
      <c r="D5" s="11">
        <v>400</v>
      </c>
      <c r="E5" s="11">
        <v>400</v>
      </c>
      <c r="F5" s="18">
        <v>0.1</v>
      </c>
      <c r="G5" s="18">
        <v>0.1</v>
      </c>
      <c r="H5" s="11">
        <v>400</v>
      </c>
      <c r="I5" s="12">
        <f ca="1">RANDBETWEEN(10, 400)</f>
        <v>90</v>
      </c>
      <c r="J5" s="12">
        <f t="shared" ca="1" si="0"/>
        <v>154</v>
      </c>
      <c r="K5" s="12">
        <f t="shared" ca="1" si="0"/>
        <v>349</v>
      </c>
    </row>
    <row r="6" spans="1:11">
      <c r="A6" s="17" t="s">
        <v>47</v>
      </c>
      <c r="B6" s="11">
        <v>400</v>
      </c>
      <c r="C6" s="18">
        <v>0.1</v>
      </c>
      <c r="D6" s="11">
        <v>400</v>
      </c>
      <c r="E6" s="11">
        <v>400</v>
      </c>
      <c r="F6" s="18">
        <v>0.1</v>
      </c>
      <c r="G6" s="18">
        <v>0.1</v>
      </c>
      <c r="H6" s="11">
        <v>400</v>
      </c>
      <c r="I6" s="12">
        <f ca="1">RANDBETWEEN(10, 400)</f>
        <v>42</v>
      </c>
      <c r="J6" s="12">
        <f t="shared" ca="1" si="0"/>
        <v>192</v>
      </c>
      <c r="K6" s="12">
        <f t="shared" ca="1" si="0"/>
        <v>356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DA5C7-E447-4DD8-BA69-6B97E934A1AE}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6"/>
  <sheetViews>
    <sheetView workbookViewId="0">
      <selection sqref="A1:E1"/>
    </sheetView>
  </sheetViews>
  <sheetFormatPr defaultRowHeight="14.5"/>
  <cols>
    <col min="1" max="1" width="21.453125" customWidth="1"/>
    <col min="2" max="2" width="12.36328125" customWidth="1"/>
    <col min="3" max="3" width="15" customWidth="1"/>
    <col min="4" max="4" width="17.08984375" customWidth="1"/>
    <col min="5" max="5" width="13" customWidth="1"/>
  </cols>
  <sheetData>
    <row r="1" spans="1:5">
      <c r="A1" s="33" t="s">
        <v>76</v>
      </c>
      <c r="B1" s="13" t="s">
        <v>119</v>
      </c>
      <c r="C1" s="14" t="s">
        <v>120</v>
      </c>
      <c r="D1" s="14" t="s">
        <v>121</v>
      </c>
      <c r="E1" s="14" t="s">
        <v>122</v>
      </c>
    </row>
    <row r="2" spans="1:5">
      <c r="A2" s="34" t="s">
        <v>123</v>
      </c>
      <c r="B2" s="30">
        <v>10</v>
      </c>
      <c r="C2" s="19">
        <v>66</v>
      </c>
      <c r="D2" s="19">
        <v>45</v>
      </c>
      <c r="E2" s="5">
        <v>100</v>
      </c>
    </row>
    <row r="3" spans="1:5">
      <c r="A3" s="34" t="s">
        <v>124</v>
      </c>
      <c r="B3" s="30">
        <v>4</v>
      </c>
      <c r="C3" s="19">
        <v>432</v>
      </c>
      <c r="D3" s="19">
        <v>24</v>
      </c>
      <c r="E3" s="5">
        <v>100</v>
      </c>
    </row>
    <row r="4" spans="1:5">
      <c r="A4" s="34" t="s">
        <v>125</v>
      </c>
      <c r="B4" s="30">
        <v>33</v>
      </c>
      <c r="C4" s="19">
        <v>23</v>
      </c>
      <c r="D4" s="19">
        <v>34</v>
      </c>
      <c r="E4" s="5">
        <v>100</v>
      </c>
    </row>
    <row r="5" spans="1:5">
      <c r="A5" s="34" t="s">
        <v>126</v>
      </c>
      <c r="B5" s="30">
        <v>45</v>
      </c>
      <c r="C5" s="19">
        <v>34</v>
      </c>
      <c r="D5" s="19">
        <v>4</v>
      </c>
      <c r="E5" s="5">
        <v>100</v>
      </c>
    </row>
    <row r="6" spans="1:5">
      <c r="A6" s="34" t="s">
        <v>127</v>
      </c>
      <c r="B6" s="30">
        <v>55</v>
      </c>
      <c r="C6" s="19">
        <v>44</v>
      </c>
      <c r="D6" s="19">
        <v>33</v>
      </c>
      <c r="E6" s="5">
        <v>100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5"/>
  <sheetViews>
    <sheetView workbookViewId="0">
      <selection activeCell="C1" sqref="C1"/>
    </sheetView>
  </sheetViews>
  <sheetFormatPr defaultRowHeight="14.5"/>
  <cols>
    <col min="1" max="1" width="18.1796875" customWidth="1"/>
  </cols>
  <sheetData>
    <row r="1" spans="1:4" ht="28">
      <c r="A1" s="33" t="s">
        <v>128</v>
      </c>
      <c r="B1" s="15" t="s">
        <v>129</v>
      </c>
      <c r="C1" s="15" t="s">
        <v>130</v>
      </c>
      <c r="D1" s="16" t="s">
        <v>131</v>
      </c>
    </row>
    <row r="2" spans="1:4">
      <c r="A2" s="35" t="s">
        <v>132</v>
      </c>
      <c r="B2" s="36">
        <v>-5</v>
      </c>
      <c r="C2" s="12">
        <v>-2</v>
      </c>
      <c r="D2" s="37">
        <v>-5</v>
      </c>
    </row>
    <row r="3" spans="1:4">
      <c r="A3" s="35" t="s">
        <v>133</v>
      </c>
      <c r="B3" s="36">
        <v>15</v>
      </c>
      <c r="C3" s="12">
        <v>5</v>
      </c>
      <c r="D3" s="37">
        <v>15</v>
      </c>
    </row>
    <row r="4" spans="1:4">
      <c r="A4" s="35" t="s">
        <v>134</v>
      </c>
      <c r="B4" s="36">
        <v>35</v>
      </c>
      <c r="C4" s="12">
        <v>12</v>
      </c>
      <c r="D4" s="37">
        <v>35</v>
      </c>
    </row>
    <row r="5" spans="1:4">
      <c r="A5" s="35" t="s">
        <v>135</v>
      </c>
      <c r="B5" s="36">
        <v>55</v>
      </c>
      <c r="C5" s="12">
        <v>19</v>
      </c>
      <c r="D5" s="37">
        <v>55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27"/>
  <sheetViews>
    <sheetView workbookViewId="0">
      <selection activeCell="E4" sqref="E4"/>
    </sheetView>
  </sheetViews>
  <sheetFormatPr defaultRowHeight="14.5"/>
  <cols>
    <col min="1" max="1" width="9.453125" style="23" customWidth="1"/>
    <col min="2" max="2" width="15.453125" style="23" customWidth="1"/>
    <col min="3" max="3" width="13.08984375" style="23" bestFit="1" customWidth="1"/>
    <col min="4" max="4" width="8.7265625" style="23"/>
    <col min="5" max="5" width="14.1796875" style="23" customWidth="1"/>
    <col min="6" max="6" width="12.7265625" style="23" customWidth="1"/>
    <col min="7" max="7" width="9.54296875" style="23" bestFit="1" customWidth="1"/>
    <col min="8" max="8" width="12" style="23" customWidth="1"/>
    <col min="9" max="10" width="8.7265625" style="23"/>
    <col min="11" max="11" width="11.81640625" style="23" customWidth="1"/>
    <col min="12" max="16384" width="8.7265625" style="23"/>
  </cols>
  <sheetData>
    <row r="1" spans="1:11">
      <c r="A1" s="21" t="s">
        <v>37</v>
      </c>
      <c r="B1" s="21" t="s">
        <v>42</v>
      </c>
      <c r="C1" s="21" t="s">
        <v>76</v>
      </c>
      <c r="D1" s="21" t="s">
        <v>104</v>
      </c>
      <c r="E1" s="21" t="s">
        <v>122</v>
      </c>
      <c r="F1" s="21" t="s">
        <v>39</v>
      </c>
      <c r="G1" s="21" t="s">
        <v>38</v>
      </c>
      <c r="H1" s="21" t="s">
        <v>21</v>
      </c>
      <c r="I1" s="21" t="s">
        <v>137</v>
      </c>
      <c r="J1" s="21" t="s">
        <v>138</v>
      </c>
      <c r="K1" s="21" t="s">
        <v>139</v>
      </c>
    </row>
    <row r="2" spans="1:11" ht="29">
      <c r="A2" s="23" t="s">
        <v>43</v>
      </c>
      <c r="B2" s="23" t="s">
        <v>10</v>
      </c>
      <c r="C2" s="23" t="s">
        <v>93</v>
      </c>
      <c r="D2" s="23" t="s">
        <v>111</v>
      </c>
      <c r="E2" s="23" t="s">
        <v>140</v>
      </c>
      <c r="F2" s="6">
        <v>45412</v>
      </c>
      <c r="G2" s="23">
        <f ca="1">RANDBETWEEN(50, 100)</f>
        <v>96</v>
      </c>
      <c r="H2" s="23">
        <f ca="1">RANDBETWEEN(2,15)</f>
        <v>7</v>
      </c>
      <c r="I2" s="23">
        <f t="shared" ref="I2:J17" ca="1" si="0">RANDBETWEEN(2,15)</f>
        <v>7</v>
      </c>
      <c r="J2" s="23">
        <f t="shared" ca="1" si="0"/>
        <v>8</v>
      </c>
      <c r="K2" s="6">
        <v>45412</v>
      </c>
    </row>
    <row r="3" spans="1:11" ht="29">
      <c r="A3" s="23" t="s">
        <v>44</v>
      </c>
      <c r="B3" s="23" t="s">
        <v>10</v>
      </c>
      <c r="C3" s="23" t="s">
        <v>94</v>
      </c>
      <c r="D3" s="23" t="s">
        <v>112</v>
      </c>
      <c r="E3" s="23" t="s">
        <v>141</v>
      </c>
      <c r="F3" s="38">
        <f ca="1">F2 + RANDBETWEEN(1,30)</f>
        <v>45442</v>
      </c>
      <c r="G3" s="23">
        <f t="shared" ref="G3:G27" ca="1" si="1">RANDBETWEEN(50, 100)</f>
        <v>66</v>
      </c>
      <c r="H3" s="23">
        <f t="shared" ref="H3:J27" ca="1" si="2">RANDBETWEEN(2,15)</f>
        <v>15</v>
      </c>
      <c r="I3" s="23">
        <f t="shared" ca="1" si="0"/>
        <v>10</v>
      </c>
      <c r="J3" s="23">
        <f t="shared" ca="1" si="0"/>
        <v>8</v>
      </c>
      <c r="K3" s="38">
        <f ca="1">K2+MONTH(RANDBETWEEN(1,12))</f>
        <v>45413</v>
      </c>
    </row>
    <row r="4" spans="1:11" ht="29">
      <c r="A4" s="23" t="s">
        <v>45</v>
      </c>
      <c r="B4" s="23" t="s">
        <v>10</v>
      </c>
      <c r="C4" s="23" t="s">
        <v>95</v>
      </c>
      <c r="D4" s="23" t="s">
        <v>113</v>
      </c>
      <c r="E4" s="23" t="s">
        <v>141</v>
      </c>
      <c r="F4" s="38">
        <f t="shared" ref="F4:F27" ca="1" si="3">F3 + RANDBETWEEN(1,30)</f>
        <v>45472</v>
      </c>
      <c r="G4" s="23">
        <f t="shared" ca="1" si="1"/>
        <v>99</v>
      </c>
      <c r="H4" s="23">
        <f t="shared" ca="1" si="2"/>
        <v>11</v>
      </c>
      <c r="I4" s="23">
        <f t="shared" ca="1" si="0"/>
        <v>13</v>
      </c>
      <c r="J4" s="23">
        <f t="shared" ca="1" si="0"/>
        <v>6</v>
      </c>
      <c r="K4" s="38">
        <f t="shared" ref="K4:K27" ca="1" si="4">K3+MONTH(RANDBETWEEN(1,12))</f>
        <v>45414</v>
      </c>
    </row>
    <row r="5" spans="1:11" ht="29">
      <c r="A5" s="23" t="s">
        <v>46</v>
      </c>
      <c r="B5" s="23" t="s">
        <v>10</v>
      </c>
      <c r="C5" s="23" t="s">
        <v>97</v>
      </c>
      <c r="D5" s="23" t="s">
        <v>114</v>
      </c>
      <c r="E5" s="23" t="s">
        <v>141</v>
      </c>
      <c r="F5" s="38">
        <f t="shared" ca="1" si="3"/>
        <v>45478</v>
      </c>
      <c r="G5" s="23">
        <f t="shared" ca="1" si="1"/>
        <v>86</v>
      </c>
      <c r="H5" s="23">
        <f t="shared" ca="1" si="2"/>
        <v>12</v>
      </c>
      <c r="I5" s="23">
        <f t="shared" ca="1" si="0"/>
        <v>3</v>
      </c>
      <c r="J5" s="23">
        <f t="shared" ca="1" si="0"/>
        <v>5</v>
      </c>
      <c r="K5" s="38">
        <f t="shared" ca="1" si="4"/>
        <v>45415</v>
      </c>
    </row>
    <row r="6" spans="1:11" ht="29">
      <c r="A6" s="23" t="s">
        <v>47</v>
      </c>
      <c r="B6" s="23" t="s">
        <v>10</v>
      </c>
      <c r="C6" s="23" t="s">
        <v>98</v>
      </c>
      <c r="D6" s="23" t="s">
        <v>115</v>
      </c>
      <c r="E6" s="23" t="s">
        <v>140</v>
      </c>
      <c r="F6" s="38">
        <f t="shared" ca="1" si="3"/>
        <v>45490</v>
      </c>
      <c r="G6" s="23">
        <f t="shared" ca="1" si="1"/>
        <v>75</v>
      </c>
      <c r="H6" s="23">
        <f t="shared" ca="1" si="2"/>
        <v>11</v>
      </c>
      <c r="I6" s="23">
        <f t="shared" ca="1" si="0"/>
        <v>5</v>
      </c>
      <c r="J6" s="23">
        <f t="shared" ca="1" si="0"/>
        <v>10</v>
      </c>
      <c r="K6" s="38">
        <f t="shared" ca="1" si="4"/>
        <v>45416</v>
      </c>
    </row>
    <row r="7" spans="1:11">
      <c r="A7" s="23" t="s">
        <v>48</v>
      </c>
      <c r="B7" s="23" t="s">
        <v>10</v>
      </c>
      <c r="C7" t="s">
        <v>99</v>
      </c>
      <c r="D7" s="23" t="s">
        <v>111</v>
      </c>
      <c r="E7" s="23" t="s">
        <v>140</v>
      </c>
      <c r="F7" s="38">
        <f t="shared" ca="1" si="3"/>
        <v>45494</v>
      </c>
      <c r="G7" s="23">
        <f t="shared" ca="1" si="1"/>
        <v>78</v>
      </c>
      <c r="H7" s="23">
        <f t="shared" ca="1" si="2"/>
        <v>13</v>
      </c>
      <c r="I7" s="23">
        <f t="shared" ca="1" si="0"/>
        <v>5</v>
      </c>
      <c r="J7" s="23">
        <f t="shared" ca="1" si="0"/>
        <v>11</v>
      </c>
      <c r="K7" s="38">
        <f t="shared" ca="1" si="4"/>
        <v>45417</v>
      </c>
    </row>
    <row r="8" spans="1:11" ht="29">
      <c r="A8" s="23" t="s">
        <v>49</v>
      </c>
      <c r="B8" s="23" t="s">
        <v>12</v>
      </c>
      <c r="C8" s="23" t="s">
        <v>100</v>
      </c>
      <c r="D8" s="23" t="s">
        <v>112</v>
      </c>
      <c r="E8" s="23" t="s">
        <v>140</v>
      </c>
      <c r="F8" s="38">
        <f t="shared" ca="1" si="3"/>
        <v>45521</v>
      </c>
      <c r="G8" s="23">
        <f t="shared" ca="1" si="1"/>
        <v>69</v>
      </c>
      <c r="H8" s="23">
        <f t="shared" ca="1" si="2"/>
        <v>6</v>
      </c>
      <c r="I8" s="23">
        <f t="shared" ca="1" si="0"/>
        <v>7</v>
      </c>
      <c r="J8" s="23">
        <f t="shared" ca="1" si="0"/>
        <v>14</v>
      </c>
      <c r="K8" s="38">
        <f t="shared" ca="1" si="4"/>
        <v>45418</v>
      </c>
    </row>
    <row r="9" spans="1:11">
      <c r="A9" s="23" t="s">
        <v>50</v>
      </c>
      <c r="B9" s="23" t="s">
        <v>12</v>
      </c>
      <c r="C9" t="s">
        <v>101</v>
      </c>
      <c r="D9" s="23" t="s">
        <v>113</v>
      </c>
      <c r="E9" s="23" t="s">
        <v>140</v>
      </c>
      <c r="F9" s="38">
        <f t="shared" ca="1" si="3"/>
        <v>45529</v>
      </c>
      <c r="G9" s="23">
        <f t="shared" ca="1" si="1"/>
        <v>82</v>
      </c>
      <c r="H9" s="23">
        <f t="shared" ca="1" si="2"/>
        <v>4</v>
      </c>
      <c r="I9" s="23">
        <f t="shared" ca="1" si="0"/>
        <v>5</v>
      </c>
      <c r="J9" s="23">
        <f t="shared" ca="1" si="0"/>
        <v>2</v>
      </c>
      <c r="K9" s="38">
        <f t="shared" ca="1" si="4"/>
        <v>45419</v>
      </c>
    </row>
    <row r="10" spans="1:11" ht="29">
      <c r="A10" s="23" t="s">
        <v>51</v>
      </c>
      <c r="B10" s="23" t="s">
        <v>12</v>
      </c>
      <c r="C10" s="23" t="s">
        <v>102</v>
      </c>
      <c r="D10" s="23" t="s">
        <v>114</v>
      </c>
      <c r="E10" s="23" t="s">
        <v>141</v>
      </c>
      <c r="F10" s="38">
        <f t="shared" ca="1" si="3"/>
        <v>45534</v>
      </c>
      <c r="G10" s="23">
        <f t="shared" ca="1" si="1"/>
        <v>93</v>
      </c>
      <c r="H10" s="23">
        <f t="shared" ca="1" si="2"/>
        <v>11</v>
      </c>
      <c r="I10" s="23">
        <f t="shared" ca="1" si="0"/>
        <v>8</v>
      </c>
      <c r="J10" s="23">
        <f t="shared" ca="1" si="0"/>
        <v>7</v>
      </c>
      <c r="K10" s="38">
        <f t="shared" ca="1" si="4"/>
        <v>45420</v>
      </c>
    </row>
    <row r="11" spans="1:11">
      <c r="A11" s="23" t="s">
        <v>52</v>
      </c>
      <c r="B11" s="23" t="s">
        <v>12</v>
      </c>
      <c r="C11" t="s">
        <v>166</v>
      </c>
      <c r="D11" s="23" t="s">
        <v>115</v>
      </c>
      <c r="E11" s="23" t="s">
        <v>140</v>
      </c>
      <c r="F11" s="38">
        <f t="shared" ca="1" si="3"/>
        <v>45545</v>
      </c>
      <c r="G11" s="23">
        <f t="shared" ca="1" si="1"/>
        <v>53</v>
      </c>
      <c r="H11" s="23">
        <f t="shared" ca="1" si="2"/>
        <v>3</v>
      </c>
      <c r="I11" s="23">
        <f t="shared" ca="1" si="0"/>
        <v>2</v>
      </c>
      <c r="J11" s="23">
        <f t="shared" ca="1" si="0"/>
        <v>15</v>
      </c>
      <c r="K11" s="38">
        <f t="shared" ca="1" si="4"/>
        <v>45421</v>
      </c>
    </row>
    <row r="12" spans="1:11" ht="29">
      <c r="A12" s="23" t="s">
        <v>143</v>
      </c>
      <c r="B12" s="23" t="s">
        <v>12</v>
      </c>
      <c r="C12" s="23" t="s">
        <v>167</v>
      </c>
      <c r="D12" s="23" t="s">
        <v>111</v>
      </c>
      <c r="E12" s="23" t="s">
        <v>141</v>
      </c>
      <c r="F12" s="38">
        <f t="shared" ca="1" si="3"/>
        <v>45551</v>
      </c>
      <c r="G12" s="23">
        <f t="shared" ca="1" si="1"/>
        <v>65</v>
      </c>
      <c r="H12" s="23">
        <f t="shared" ca="1" si="2"/>
        <v>10</v>
      </c>
      <c r="I12" s="23">
        <f t="shared" ca="1" si="0"/>
        <v>13</v>
      </c>
      <c r="J12" s="23">
        <f t="shared" ca="1" si="0"/>
        <v>6</v>
      </c>
      <c r="K12" s="38">
        <f t="shared" ca="1" si="4"/>
        <v>45422</v>
      </c>
    </row>
    <row r="13" spans="1:11">
      <c r="A13" s="23" t="s">
        <v>144</v>
      </c>
      <c r="B13" s="23" t="s">
        <v>12</v>
      </c>
      <c r="C13" t="s">
        <v>168</v>
      </c>
      <c r="D13" s="23" t="s">
        <v>112</v>
      </c>
      <c r="E13" s="23" t="s">
        <v>140</v>
      </c>
      <c r="F13" s="38">
        <f t="shared" ca="1" si="3"/>
        <v>45577</v>
      </c>
      <c r="G13" s="23">
        <f t="shared" ca="1" si="1"/>
        <v>96</v>
      </c>
      <c r="H13" s="23">
        <f t="shared" ca="1" si="2"/>
        <v>15</v>
      </c>
      <c r="I13" s="23">
        <f t="shared" ca="1" si="0"/>
        <v>11</v>
      </c>
      <c r="J13" s="23">
        <f t="shared" ca="1" si="0"/>
        <v>10</v>
      </c>
      <c r="K13" s="38">
        <f t="shared" ca="1" si="4"/>
        <v>45423</v>
      </c>
    </row>
    <row r="14" spans="1:11" ht="29">
      <c r="A14" s="23" t="s">
        <v>145</v>
      </c>
      <c r="B14" s="23" t="s">
        <v>12</v>
      </c>
      <c r="C14" s="23" t="s">
        <v>169</v>
      </c>
      <c r="D14" s="23" t="s">
        <v>113</v>
      </c>
      <c r="E14" s="23" t="s">
        <v>141</v>
      </c>
      <c r="F14" s="38">
        <f t="shared" ca="1" si="3"/>
        <v>45583</v>
      </c>
      <c r="G14" s="23">
        <f t="shared" ca="1" si="1"/>
        <v>64</v>
      </c>
      <c r="H14" s="23">
        <f t="shared" ca="1" si="2"/>
        <v>4</v>
      </c>
      <c r="I14" s="23">
        <f t="shared" ca="1" si="0"/>
        <v>6</v>
      </c>
      <c r="J14" s="23">
        <f t="shared" ca="1" si="0"/>
        <v>12</v>
      </c>
      <c r="K14" s="38">
        <f t="shared" ca="1" si="4"/>
        <v>45424</v>
      </c>
    </row>
    <row r="15" spans="1:11">
      <c r="A15" s="23" t="s">
        <v>146</v>
      </c>
      <c r="B15" s="23" t="s">
        <v>12</v>
      </c>
      <c r="C15" t="s">
        <v>170</v>
      </c>
      <c r="D15" s="23" t="s">
        <v>114</v>
      </c>
      <c r="E15" s="23" t="s">
        <v>141</v>
      </c>
      <c r="F15" s="38">
        <f t="shared" ca="1" si="3"/>
        <v>45599</v>
      </c>
      <c r="G15" s="23">
        <f t="shared" ca="1" si="1"/>
        <v>58</v>
      </c>
      <c r="H15" s="23">
        <f t="shared" ca="1" si="2"/>
        <v>4</v>
      </c>
      <c r="I15" s="23">
        <f t="shared" ca="1" si="0"/>
        <v>5</v>
      </c>
      <c r="J15" s="23">
        <f t="shared" ca="1" si="0"/>
        <v>6</v>
      </c>
      <c r="K15" s="38">
        <f t="shared" ca="1" si="4"/>
        <v>45425</v>
      </c>
    </row>
    <row r="16" spans="1:11" ht="29">
      <c r="A16" s="23" t="s">
        <v>147</v>
      </c>
      <c r="B16" s="23" t="s">
        <v>12</v>
      </c>
      <c r="C16" s="23" t="s">
        <v>171</v>
      </c>
      <c r="D16" s="23" t="s">
        <v>115</v>
      </c>
      <c r="E16" s="23" t="s">
        <v>140</v>
      </c>
      <c r="F16" s="38">
        <f t="shared" ca="1" si="3"/>
        <v>45626</v>
      </c>
      <c r="G16" s="23">
        <f t="shared" ca="1" si="1"/>
        <v>83</v>
      </c>
      <c r="H16" s="23">
        <f t="shared" ca="1" si="2"/>
        <v>12</v>
      </c>
      <c r="I16" s="23">
        <f t="shared" ca="1" si="0"/>
        <v>11</v>
      </c>
      <c r="J16" s="23">
        <f t="shared" ca="1" si="0"/>
        <v>3</v>
      </c>
      <c r="K16" s="38">
        <f t="shared" ca="1" si="4"/>
        <v>45426</v>
      </c>
    </row>
    <row r="17" spans="1:11">
      <c r="A17" s="23" t="s">
        <v>148</v>
      </c>
      <c r="B17" s="23" t="s">
        <v>12</v>
      </c>
      <c r="C17" t="s">
        <v>172</v>
      </c>
      <c r="D17" s="23" t="s">
        <v>111</v>
      </c>
      <c r="E17" s="23" t="s">
        <v>141</v>
      </c>
      <c r="F17" s="38">
        <f t="shared" ca="1" si="3"/>
        <v>45640</v>
      </c>
      <c r="G17" s="23">
        <f t="shared" ca="1" si="1"/>
        <v>53</v>
      </c>
      <c r="H17" s="23">
        <f t="shared" ca="1" si="2"/>
        <v>13</v>
      </c>
      <c r="I17" s="23">
        <f t="shared" ca="1" si="0"/>
        <v>13</v>
      </c>
      <c r="J17" s="23">
        <f t="shared" ca="1" si="0"/>
        <v>9</v>
      </c>
      <c r="K17" s="38">
        <f t="shared" ca="1" si="4"/>
        <v>45427</v>
      </c>
    </row>
    <row r="18" spans="1:11" ht="29">
      <c r="A18" s="23" t="s">
        <v>149</v>
      </c>
      <c r="B18" s="23" t="s">
        <v>150</v>
      </c>
      <c r="C18" s="23" t="s">
        <v>93</v>
      </c>
      <c r="D18" s="23" t="s">
        <v>112</v>
      </c>
      <c r="E18" s="23" t="s">
        <v>140</v>
      </c>
      <c r="F18" s="38">
        <f t="shared" ca="1" si="3"/>
        <v>45670</v>
      </c>
      <c r="G18" s="23">
        <f t="shared" ca="1" si="1"/>
        <v>54</v>
      </c>
      <c r="H18" s="23">
        <f t="shared" ca="1" si="2"/>
        <v>8</v>
      </c>
      <c r="I18" s="23">
        <f t="shared" ca="1" si="2"/>
        <v>8</v>
      </c>
      <c r="J18" s="23">
        <f t="shared" ca="1" si="2"/>
        <v>2</v>
      </c>
      <c r="K18" s="38">
        <f t="shared" ca="1" si="4"/>
        <v>45428</v>
      </c>
    </row>
    <row r="19" spans="1:11" ht="29">
      <c r="A19" s="23" t="s">
        <v>151</v>
      </c>
      <c r="B19" s="23" t="s">
        <v>150</v>
      </c>
      <c r="C19" s="23" t="s">
        <v>94</v>
      </c>
      <c r="D19" s="23" t="s">
        <v>113</v>
      </c>
      <c r="E19" s="23" t="s">
        <v>141</v>
      </c>
      <c r="F19" s="38">
        <f t="shared" ca="1" si="3"/>
        <v>45677</v>
      </c>
      <c r="G19" s="23">
        <f t="shared" ca="1" si="1"/>
        <v>51</v>
      </c>
      <c r="H19" s="23">
        <f t="shared" ca="1" si="2"/>
        <v>14</v>
      </c>
      <c r="I19" s="23">
        <f t="shared" ca="1" si="2"/>
        <v>11</v>
      </c>
      <c r="J19" s="23">
        <f t="shared" ca="1" si="2"/>
        <v>4</v>
      </c>
      <c r="K19" s="38">
        <f t="shared" ca="1" si="4"/>
        <v>45429</v>
      </c>
    </row>
    <row r="20" spans="1:11" ht="29">
      <c r="A20" s="23" t="s">
        <v>152</v>
      </c>
      <c r="B20" s="23" t="s">
        <v>150</v>
      </c>
      <c r="C20" s="23" t="s">
        <v>95</v>
      </c>
      <c r="D20" s="23" t="s">
        <v>114</v>
      </c>
      <c r="E20" s="23" t="s">
        <v>141</v>
      </c>
      <c r="F20" s="38">
        <f t="shared" ca="1" si="3"/>
        <v>45692</v>
      </c>
      <c r="G20" s="23">
        <f t="shared" ca="1" si="1"/>
        <v>98</v>
      </c>
      <c r="H20" s="23">
        <f t="shared" ca="1" si="2"/>
        <v>2</v>
      </c>
      <c r="I20" s="23">
        <f t="shared" ca="1" si="2"/>
        <v>12</v>
      </c>
      <c r="J20" s="23">
        <f t="shared" ca="1" si="2"/>
        <v>14</v>
      </c>
      <c r="K20" s="38">
        <f t="shared" ca="1" si="4"/>
        <v>45430</v>
      </c>
    </row>
    <row r="21" spans="1:11" ht="29">
      <c r="A21" s="23" t="s">
        <v>153</v>
      </c>
      <c r="B21" s="23" t="s">
        <v>150</v>
      </c>
      <c r="C21" s="23" t="s">
        <v>97</v>
      </c>
      <c r="D21" s="23" t="s">
        <v>115</v>
      </c>
      <c r="E21" s="23" t="s">
        <v>141</v>
      </c>
      <c r="F21" s="38">
        <f t="shared" ca="1" si="3"/>
        <v>45699</v>
      </c>
      <c r="G21" s="23">
        <f t="shared" ca="1" si="1"/>
        <v>82</v>
      </c>
      <c r="H21" s="23">
        <f t="shared" ca="1" si="2"/>
        <v>11</v>
      </c>
      <c r="I21" s="23">
        <f t="shared" ca="1" si="2"/>
        <v>13</v>
      </c>
      <c r="J21" s="23">
        <f t="shared" ca="1" si="2"/>
        <v>12</v>
      </c>
      <c r="K21" s="38">
        <f t="shared" ca="1" si="4"/>
        <v>45431</v>
      </c>
    </row>
    <row r="22" spans="1:11" ht="29">
      <c r="A22" s="23" t="s">
        <v>154</v>
      </c>
      <c r="B22" s="23" t="s">
        <v>150</v>
      </c>
      <c r="C22" s="23" t="s">
        <v>98</v>
      </c>
      <c r="D22" s="23" t="s">
        <v>111</v>
      </c>
      <c r="E22" s="23" t="s">
        <v>141</v>
      </c>
      <c r="F22" s="38">
        <f t="shared" ca="1" si="3"/>
        <v>45720</v>
      </c>
      <c r="G22" s="23">
        <f t="shared" ca="1" si="1"/>
        <v>70</v>
      </c>
      <c r="H22" s="23">
        <f t="shared" ca="1" si="2"/>
        <v>5</v>
      </c>
      <c r="I22" s="23">
        <f t="shared" ca="1" si="2"/>
        <v>12</v>
      </c>
      <c r="J22" s="23">
        <f t="shared" ca="1" si="2"/>
        <v>10</v>
      </c>
      <c r="K22" s="38">
        <f t="shared" ca="1" si="4"/>
        <v>45432</v>
      </c>
    </row>
    <row r="23" spans="1:11">
      <c r="A23" s="23" t="s">
        <v>155</v>
      </c>
      <c r="B23" s="23" t="s">
        <v>150</v>
      </c>
      <c r="C23" t="s">
        <v>99</v>
      </c>
      <c r="D23" s="23" t="s">
        <v>112</v>
      </c>
      <c r="E23" s="23" t="s">
        <v>141</v>
      </c>
      <c r="F23" s="38">
        <f t="shared" ca="1" si="3"/>
        <v>45742</v>
      </c>
      <c r="G23" s="23">
        <f t="shared" ca="1" si="1"/>
        <v>98</v>
      </c>
      <c r="H23" s="23">
        <f t="shared" ca="1" si="2"/>
        <v>15</v>
      </c>
      <c r="I23" s="23">
        <f t="shared" ca="1" si="2"/>
        <v>14</v>
      </c>
      <c r="J23" s="23">
        <f t="shared" ca="1" si="2"/>
        <v>12</v>
      </c>
      <c r="K23" s="38">
        <f t="shared" ca="1" si="4"/>
        <v>45433</v>
      </c>
    </row>
    <row r="24" spans="1:11" ht="29">
      <c r="A24" s="23" t="s">
        <v>156</v>
      </c>
      <c r="B24" s="23" t="s">
        <v>150</v>
      </c>
      <c r="C24" s="23" t="s">
        <v>100</v>
      </c>
      <c r="D24" s="23" t="s">
        <v>113</v>
      </c>
      <c r="E24" s="23" t="s">
        <v>140</v>
      </c>
      <c r="F24" s="38">
        <f t="shared" ca="1" si="3"/>
        <v>45772</v>
      </c>
      <c r="G24" s="23">
        <f t="shared" ca="1" si="1"/>
        <v>98</v>
      </c>
      <c r="H24" s="23">
        <f t="shared" ca="1" si="2"/>
        <v>10</v>
      </c>
      <c r="I24" s="23">
        <f t="shared" ca="1" si="2"/>
        <v>14</v>
      </c>
      <c r="J24" s="23">
        <f t="shared" ca="1" si="2"/>
        <v>13</v>
      </c>
      <c r="K24" s="38">
        <f t="shared" ca="1" si="4"/>
        <v>45434</v>
      </c>
    </row>
    <row r="25" spans="1:11">
      <c r="A25" s="23" t="s">
        <v>157</v>
      </c>
      <c r="B25" s="23" t="s">
        <v>150</v>
      </c>
      <c r="C25" t="s">
        <v>101</v>
      </c>
      <c r="D25" s="23" t="s">
        <v>114</v>
      </c>
      <c r="E25" s="23" t="s">
        <v>140</v>
      </c>
      <c r="F25" s="38">
        <f t="shared" ca="1" si="3"/>
        <v>45777</v>
      </c>
      <c r="G25" s="23">
        <f t="shared" ca="1" si="1"/>
        <v>66</v>
      </c>
      <c r="H25" s="23">
        <f t="shared" ca="1" si="2"/>
        <v>5</v>
      </c>
      <c r="I25" s="23">
        <f t="shared" ca="1" si="2"/>
        <v>3</v>
      </c>
      <c r="J25" s="23">
        <f t="shared" ca="1" si="2"/>
        <v>5</v>
      </c>
      <c r="K25" s="38">
        <f t="shared" ca="1" si="4"/>
        <v>45435</v>
      </c>
    </row>
    <row r="26" spans="1:11" ht="29">
      <c r="A26" s="23" t="s">
        <v>158</v>
      </c>
      <c r="B26" s="23" t="s">
        <v>150</v>
      </c>
      <c r="C26" s="23" t="s">
        <v>102</v>
      </c>
      <c r="D26" s="23" t="s">
        <v>115</v>
      </c>
      <c r="E26" s="23" t="s">
        <v>140</v>
      </c>
      <c r="F26" s="38">
        <f t="shared" ca="1" si="3"/>
        <v>45787</v>
      </c>
      <c r="G26" s="23">
        <f t="shared" ca="1" si="1"/>
        <v>60</v>
      </c>
      <c r="H26" s="23">
        <f t="shared" ca="1" si="2"/>
        <v>6</v>
      </c>
      <c r="I26" s="23">
        <f t="shared" ca="1" si="2"/>
        <v>11</v>
      </c>
      <c r="J26" s="23">
        <f t="shared" ca="1" si="2"/>
        <v>2</v>
      </c>
      <c r="K26" s="38">
        <f t="shared" ca="1" si="4"/>
        <v>45436</v>
      </c>
    </row>
    <row r="27" spans="1:11">
      <c r="A27" s="23" t="s">
        <v>159</v>
      </c>
      <c r="B27" s="23" t="s">
        <v>150</v>
      </c>
      <c r="C27" t="s">
        <v>166</v>
      </c>
      <c r="D27" s="23" t="s">
        <v>112</v>
      </c>
      <c r="E27" s="23" t="s">
        <v>141</v>
      </c>
      <c r="F27" s="38">
        <f t="shared" ca="1" si="3"/>
        <v>45791</v>
      </c>
      <c r="G27" s="23">
        <f t="shared" ca="1" si="1"/>
        <v>56</v>
      </c>
      <c r="H27" s="23">
        <f t="shared" ca="1" si="2"/>
        <v>2</v>
      </c>
      <c r="I27" s="23">
        <f t="shared" ca="1" si="2"/>
        <v>7</v>
      </c>
      <c r="J27" s="23">
        <f t="shared" ca="1" si="2"/>
        <v>14</v>
      </c>
      <c r="K27" s="38">
        <f t="shared" ca="1" si="4"/>
        <v>45437</v>
      </c>
    </row>
  </sheetData>
  <pageMargins left="0.7" right="0.7" top="0.75" bottom="0.75" header="0.3" footer="0.3"/>
  <pageSetup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7"/>
  <sheetViews>
    <sheetView workbookViewId="0">
      <selection sqref="A1:H1"/>
    </sheetView>
  </sheetViews>
  <sheetFormatPr defaultRowHeight="14.5"/>
  <cols>
    <col min="1" max="1" width="21.7265625" customWidth="1"/>
  </cols>
  <sheetData>
    <row r="1" spans="1:8" ht="56">
      <c r="A1" s="36" t="s">
        <v>76</v>
      </c>
      <c r="B1" s="36" t="s">
        <v>136</v>
      </c>
      <c r="C1" s="36" t="s">
        <v>160</v>
      </c>
      <c r="D1" s="39" t="s">
        <v>161</v>
      </c>
      <c r="E1" s="36" t="s">
        <v>162</v>
      </c>
      <c r="F1" s="36" t="s">
        <v>163</v>
      </c>
      <c r="G1" s="40" t="s">
        <v>164</v>
      </c>
      <c r="H1" s="40" t="s">
        <v>165</v>
      </c>
    </row>
    <row r="2" spans="1:8">
      <c r="A2" s="23" t="s">
        <v>93</v>
      </c>
      <c r="B2" s="23" t="s">
        <v>33</v>
      </c>
      <c r="C2">
        <f ca="1">RANDBETWEEN(50, 100)</f>
        <v>74</v>
      </c>
      <c r="D2">
        <f ca="1">RANDBETWEEN(2, 10)</f>
        <v>6</v>
      </c>
      <c r="E2">
        <f ca="1">RANDBETWEEN(50, 100)</f>
        <v>57</v>
      </c>
      <c r="F2">
        <f ca="1">RANDBETWEEN(2, 10)</f>
        <v>6</v>
      </c>
      <c r="G2">
        <f ca="1">RANDBETWEEN(50, 100)</f>
        <v>60</v>
      </c>
      <c r="H2">
        <f ca="1">RANDBETWEEN(2, 10)</f>
        <v>9</v>
      </c>
    </row>
    <row r="3" spans="1:8">
      <c r="A3" s="23" t="s">
        <v>94</v>
      </c>
      <c r="B3" s="23" t="s">
        <v>33</v>
      </c>
      <c r="C3">
        <f ca="1">RANDBETWEEN(50, 100)</f>
        <v>59</v>
      </c>
      <c r="D3">
        <f ca="1">RANDBETWEEN(2, 10)</f>
        <v>10</v>
      </c>
      <c r="E3">
        <f ca="1">RANDBETWEEN(50, 100)</f>
        <v>57</v>
      </c>
      <c r="F3">
        <f ca="1">RANDBETWEEN(2, 10)</f>
        <v>10</v>
      </c>
      <c r="G3">
        <f ca="1">RANDBETWEEN(50, 100)</f>
        <v>71</v>
      </c>
      <c r="H3">
        <f ca="1">RANDBETWEEN(2, 10)</f>
        <v>3</v>
      </c>
    </row>
    <row r="4" spans="1:8">
      <c r="A4" s="23" t="s">
        <v>95</v>
      </c>
      <c r="B4" s="23" t="s">
        <v>33</v>
      </c>
      <c r="C4">
        <f ca="1">RANDBETWEEN(50, 100)</f>
        <v>92</v>
      </c>
      <c r="D4">
        <f ca="1">RANDBETWEEN(2, 10)</f>
        <v>5</v>
      </c>
      <c r="E4">
        <f ca="1">RANDBETWEEN(50, 100)</f>
        <v>92</v>
      </c>
      <c r="F4">
        <f ca="1">RANDBETWEEN(2, 10)</f>
        <v>3</v>
      </c>
      <c r="G4">
        <f ca="1">RANDBETWEEN(50, 100)</f>
        <v>85</v>
      </c>
      <c r="H4">
        <f ca="1">RANDBETWEEN(2, 10)</f>
        <v>2</v>
      </c>
    </row>
    <row r="5" spans="1:8">
      <c r="A5" s="23" t="s">
        <v>97</v>
      </c>
      <c r="B5" s="23" t="s">
        <v>33</v>
      </c>
      <c r="C5">
        <f ca="1">RANDBETWEEN(50, 100)</f>
        <v>60</v>
      </c>
      <c r="D5">
        <f ca="1">RANDBETWEEN(2, 10)</f>
        <v>4</v>
      </c>
      <c r="E5">
        <f ca="1">RANDBETWEEN(50, 100)</f>
        <v>77</v>
      </c>
      <c r="F5">
        <f ca="1">RANDBETWEEN(2, 10)</f>
        <v>10</v>
      </c>
      <c r="G5">
        <f ca="1">RANDBETWEEN(50, 100)</f>
        <v>91</v>
      </c>
      <c r="H5">
        <f ca="1">RANDBETWEEN(2, 10)</f>
        <v>2</v>
      </c>
    </row>
    <row r="6" spans="1:8">
      <c r="A6" s="23" t="s">
        <v>98</v>
      </c>
      <c r="B6" s="23" t="s">
        <v>33</v>
      </c>
      <c r="C6">
        <f ca="1">RANDBETWEEN(50, 100)</f>
        <v>60</v>
      </c>
      <c r="D6">
        <f ca="1">RANDBETWEEN(2, 10)</f>
        <v>4</v>
      </c>
      <c r="E6">
        <f ca="1">RANDBETWEEN(50, 100)</f>
        <v>76</v>
      </c>
      <c r="F6">
        <f ca="1">RANDBETWEEN(2, 10)</f>
        <v>5</v>
      </c>
      <c r="G6">
        <f ca="1">RANDBETWEEN(50, 100)</f>
        <v>72</v>
      </c>
      <c r="H6">
        <f ca="1">RANDBETWEEN(2, 10)</f>
        <v>9</v>
      </c>
    </row>
    <row r="7" spans="1:8">
      <c r="A7" t="s">
        <v>99</v>
      </c>
      <c r="B7" s="23" t="s">
        <v>29</v>
      </c>
      <c r="C7">
        <f t="shared" ref="C7:C17" ca="1" si="0">RANDBETWEEN(50, 100)</f>
        <v>55</v>
      </c>
      <c r="D7">
        <f t="shared" ref="D7:D17" ca="1" si="1">RANDBETWEEN(2, 10)</f>
        <v>5</v>
      </c>
      <c r="E7">
        <f t="shared" ref="E7:E17" ca="1" si="2">RANDBETWEEN(50, 100)</f>
        <v>76</v>
      </c>
      <c r="F7">
        <f t="shared" ref="F7:F17" ca="1" si="3">RANDBETWEEN(2, 10)</f>
        <v>5</v>
      </c>
      <c r="G7">
        <f t="shared" ref="G7:G17" ca="1" si="4">RANDBETWEEN(50, 100)</f>
        <v>95</v>
      </c>
      <c r="H7">
        <f t="shared" ref="H7:H17" ca="1" si="5">RANDBETWEEN(2, 10)</f>
        <v>4</v>
      </c>
    </row>
    <row r="8" spans="1:8">
      <c r="A8" s="23" t="s">
        <v>100</v>
      </c>
      <c r="B8" s="23" t="s">
        <v>25</v>
      </c>
      <c r="C8">
        <f t="shared" ca="1" si="0"/>
        <v>72</v>
      </c>
      <c r="D8">
        <f t="shared" ca="1" si="1"/>
        <v>8</v>
      </c>
      <c r="E8">
        <f t="shared" ca="1" si="2"/>
        <v>55</v>
      </c>
      <c r="F8">
        <f t="shared" ca="1" si="3"/>
        <v>5</v>
      </c>
      <c r="G8">
        <f t="shared" ca="1" si="4"/>
        <v>57</v>
      </c>
      <c r="H8">
        <f t="shared" ca="1" si="5"/>
        <v>4</v>
      </c>
    </row>
    <row r="9" spans="1:8">
      <c r="A9" t="s">
        <v>101</v>
      </c>
      <c r="B9" s="23" t="s">
        <v>25</v>
      </c>
      <c r="C9">
        <f t="shared" ca="1" si="0"/>
        <v>81</v>
      </c>
      <c r="D9">
        <f t="shared" ca="1" si="1"/>
        <v>3</v>
      </c>
      <c r="E9">
        <f t="shared" ca="1" si="2"/>
        <v>81</v>
      </c>
      <c r="F9">
        <f t="shared" ca="1" si="3"/>
        <v>4</v>
      </c>
      <c r="G9">
        <f t="shared" ca="1" si="4"/>
        <v>76</v>
      </c>
      <c r="H9">
        <f t="shared" ca="1" si="5"/>
        <v>2</v>
      </c>
    </row>
    <row r="10" spans="1:8">
      <c r="A10" s="23" t="s">
        <v>102</v>
      </c>
      <c r="B10" s="23" t="s">
        <v>25</v>
      </c>
      <c r="C10">
        <f t="shared" ca="1" si="0"/>
        <v>61</v>
      </c>
      <c r="D10">
        <f t="shared" ca="1" si="1"/>
        <v>4</v>
      </c>
      <c r="E10">
        <f t="shared" ca="1" si="2"/>
        <v>80</v>
      </c>
      <c r="F10">
        <f t="shared" ca="1" si="3"/>
        <v>10</v>
      </c>
      <c r="G10">
        <f t="shared" ca="1" si="4"/>
        <v>85</v>
      </c>
      <c r="H10">
        <f t="shared" ca="1" si="5"/>
        <v>3</v>
      </c>
    </row>
    <row r="11" spans="1:8">
      <c r="A11" t="s">
        <v>166</v>
      </c>
      <c r="B11" s="23" t="s">
        <v>25</v>
      </c>
      <c r="C11">
        <f t="shared" ca="1" si="0"/>
        <v>83</v>
      </c>
      <c r="D11">
        <f t="shared" ca="1" si="1"/>
        <v>3</v>
      </c>
      <c r="E11">
        <f t="shared" ca="1" si="2"/>
        <v>66</v>
      </c>
      <c r="F11">
        <f t="shared" ca="1" si="3"/>
        <v>6</v>
      </c>
      <c r="G11">
        <f t="shared" ca="1" si="4"/>
        <v>87</v>
      </c>
      <c r="H11">
        <f t="shared" ca="1" si="5"/>
        <v>5</v>
      </c>
    </row>
    <row r="12" spans="1:8">
      <c r="A12" s="23" t="s">
        <v>167</v>
      </c>
      <c r="B12" s="23" t="s">
        <v>25</v>
      </c>
      <c r="C12">
        <f t="shared" ca="1" si="0"/>
        <v>85</v>
      </c>
      <c r="D12">
        <f t="shared" ca="1" si="1"/>
        <v>5</v>
      </c>
      <c r="E12">
        <f t="shared" ca="1" si="2"/>
        <v>64</v>
      </c>
      <c r="F12">
        <f t="shared" ca="1" si="3"/>
        <v>9</v>
      </c>
      <c r="G12">
        <f t="shared" ca="1" si="4"/>
        <v>67</v>
      </c>
      <c r="H12">
        <f t="shared" ca="1" si="5"/>
        <v>2</v>
      </c>
    </row>
    <row r="13" spans="1:8">
      <c r="A13" t="s">
        <v>168</v>
      </c>
      <c r="B13" s="23" t="s">
        <v>25</v>
      </c>
      <c r="C13">
        <f t="shared" ca="1" si="0"/>
        <v>91</v>
      </c>
      <c r="D13">
        <f t="shared" ca="1" si="1"/>
        <v>6</v>
      </c>
      <c r="E13">
        <f t="shared" ca="1" si="2"/>
        <v>88</v>
      </c>
      <c r="F13">
        <f t="shared" ca="1" si="3"/>
        <v>10</v>
      </c>
      <c r="G13">
        <f t="shared" ca="1" si="4"/>
        <v>87</v>
      </c>
      <c r="H13">
        <f t="shared" ca="1" si="5"/>
        <v>9</v>
      </c>
    </row>
    <row r="14" spans="1:8">
      <c r="A14" s="23" t="s">
        <v>169</v>
      </c>
      <c r="B14" s="23" t="s">
        <v>25</v>
      </c>
      <c r="C14">
        <f t="shared" ca="1" si="0"/>
        <v>69</v>
      </c>
      <c r="D14">
        <f t="shared" ca="1" si="1"/>
        <v>3</v>
      </c>
      <c r="E14">
        <f t="shared" ca="1" si="2"/>
        <v>50</v>
      </c>
      <c r="F14">
        <f t="shared" ca="1" si="3"/>
        <v>4</v>
      </c>
      <c r="G14">
        <f t="shared" ca="1" si="4"/>
        <v>77</v>
      </c>
      <c r="H14">
        <f t="shared" ca="1" si="5"/>
        <v>8</v>
      </c>
    </row>
    <row r="15" spans="1:8">
      <c r="A15" t="s">
        <v>170</v>
      </c>
      <c r="B15" s="23" t="s">
        <v>25</v>
      </c>
      <c r="C15">
        <f t="shared" ca="1" si="0"/>
        <v>78</v>
      </c>
      <c r="D15">
        <f t="shared" ca="1" si="1"/>
        <v>3</v>
      </c>
      <c r="E15">
        <f t="shared" ca="1" si="2"/>
        <v>87</v>
      </c>
      <c r="F15">
        <f t="shared" ca="1" si="3"/>
        <v>10</v>
      </c>
      <c r="G15">
        <f t="shared" ca="1" si="4"/>
        <v>81</v>
      </c>
      <c r="H15">
        <f t="shared" ca="1" si="5"/>
        <v>3</v>
      </c>
    </row>
    <row r="16" spans="1:8">
      <c r="A16" s="23" t="s">
        <v>171</v>
      </c>
      <c r="B16" s="23" t="s">
        <v>25</v>
      </c>
      <c r="C16">
        <f t="shared" ca="1" si="0"/>
        <v>96</v>
      </c>
      <c r="D16">
        <f t="shared" ca="1" si="1"/>
        <v>7</v>
      </c>
      <c r="E16">
        <f t="shared" ca="1" si="2"/>
        <v>92</v>
      </c>
      <c r="F16">
        <f t="shared" ca="1" si="3"/>
        <v>6</v>
      </c>
      <c r="G16">
        <f t="shared" ca="1" si="4"/>
        <v>55</v>
      </c>
      <c r="H16">
        <f t="shared" ca="1" si="5"/>
        <v>6</v>
      </c>
    </row>
    <row r="17" spans="1:8">
      <c r="A17" t="s">
        <v>172</v>
      </c>
      <c r="B17" s="23" t="s">
        <v>25</v>
      </c>
      <c r="C17">
        <f t="shared" ca="1" si="0"/>
        <v>77</v>
      </c>
      <c r="D17">
        <f t="shared" ca="1" si="1"/>
        <v>7</v>
      </c>
      <c r="E17">
        <f t="shared" ca="1" si="2"/>
        <v>75</v>
      </c>
      <c r="F17">
        <f t="shared" ca="1" si="3"/>
        <v>2</v>
      </c>
      <c r="G17">
        <f t="shared" ca="1" si="4"/>
        <v>53</v>
      </c>
      <c r="H17">
        <f t="shared" ca="1" si="5"/>
        <v>8</v>
      </c>
    </row>
  </sheetData>
  <pageMargins left="0.7" right="0.7" top="0.75" bottom="0.75" header="0.3" footer="0.3"/>
  <pageSetup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7"/>
  <sheetViews>
    <sheetView workbookViewId="0">
      <selection sqref="A1:H1"/>
    </sheetView>
  </sheetViews>
  <sheetFormatPr defaultRowHeight="14.5"/>
  <cols>
    <col min="1" max="1" width="20.08984375" customWidth="1"/>
  </cols>
  <sheetData>
    <row r="1" spans="1:8" ht="58">
      <c r="A1" s="21" t="s">
        <v>76</v>
      </c>
      <c r="B1" s="22" t="s">
        <v>79</v>
      </c>
      <c r="C1" s="22" t="s">
        <v>80</v>
      </c>
      <c r="D1" s="22" t="s">
        <v>81</v>
      </c>
      <c r="E1" s="22" t="s">
        <v>82</v>
      </c>
      <c r="F1" s="22" t="s">
        <v>83</v>
      </c>
      <c r="G1" s="22" t="s">
        <v>84</v>
      </c>
      <c r="H1" s="22" t="s">
        <v>78</v>
      </c>
    </row>
    <row r="2" spans="1:8">
      <c r="A2" s="23" t="s">
        <v>93</v>
      </c>
      <c r="B2">
        <f ca="1">RANDBETWEEN(50, 100)</f>
        <v>61</v>
      </c>
      <c r="C2">
        <f ca="1">RANDBETWEEN(2, 10)</f>
        <v>3</v>
      </c>
      <c r="D2">
        <f ca="1">RANDBETWEEN(50, 100)</f>
        <v>77</v>
      </c>
      <c r="E2">
        <f ca="1">RANDBETWEEN(2, 10)</f>
        <v>9</v>
      </c>
      <c r="F2">
        <f ca="1">RANDBETWEEN(50, 100)</f>
        <v>74</v>
      </c>
      <c r="G2">
        <f ca="1">RANDBETWEEN(2, 10)</f>
        <v>9</v>
      </c>
      <c r="H2">
        <f ca="1">RANDBETWEEN(50, 100)</f>
        <v>66</v>
      </c>
    </row>
    <row r="3" spans="1:8">
      <c r="A3" s="23" t="s">
        <v>94</v>
      </c>
      <c r="B3">
        <f ca="1">RANDBETWEEN(50, 100)</f>
        <v>53</v>
      </c>
      <c r="C3">
        <f ca="1">RANDBETWEEN(2, 10)</f>
        <v>7</v>
      </c>
      <c r="D3">
        <f ca="1">RANDBETWEEN(50, 100)</f>
        <v>91</v>
      </c>
      <c r="E3">
        <f ca="1">RANDBETWEEN(2, 10)</f>
        <v>10</v>
      </c>
      <c r="F3">
        <f ca="1">RANDBETWEEN(50, 100)</f>
        <v>77</v>
      </c>
      <c r="G3">
        <f ca="1">RANDBETWEEN(2, 10)</f>
        <v>3</v>
      </c>
      <c r="H3">
        <f ca="1">RANDBETWEEN(50, 100)</f>
        <v>74</v>
      </c>
    </row>
    <row r="4" spans="1:8">
      <c r="A4" s="23" t="s">
        <v>95</v>
      </c>
      <c r="B4">
        <f ca="1">RANDBETWEEN(50, 100)</f>
        <v>94</v>
      </c>
      <c r="C4">
        <f ca="1">RANDBETWEEN(2, 10)</f>
        <v>2</v>
      </c>
      <c r="D4">
        <f ca="1">RANDBETWEEN(50, 100)</f>
        <v>87</v>
      </c>
      <c r="E4">
        <f ca="1">RANDBETWEEN(2, 10)</f>
        <v>4</v>
      </c>
      <c r="F4">
        <f ca="1">RANDBETWEEN(50, 100)</f>
        <v>71</v>
      </c>
      <c r="G4">
        <f ca="1">RANDBETWEEN(2, 10)</f>
        <v>3</v>
      </c>
      <c r="H4">
        <f ca="1">RANDBETWEEN(50, 100)</f>
        <v>65</v>
      </c>
    </row>
    <row r="5" spans="1:8">
      <c r="A5" s="23" t="s">
        <v>97</v>
      </c>
      <c r="B5">
        <f ca="1">RANDBETWEEN(50, 100)</f>
        <v>76</v>
      </c>
      <c r="C5">
        <f ca="1">RANDBETWEEN(2, 10)</f>
        <v>10</v>
      </c>
      <c r="D5">
        <f ca="1">RANDBETWEEN(50, 100)</f>
        <v>98</v>
      </c>
      <c r="E5">
        <f ca="1">RANDBETWEEN(2, 10)</f>
        <v>5</v>
      </c>
      <c r="F5">
        <f ca="1">RANDBETWEEN(50, 100)</f>
        <v>78</v>
      </c>
      <c r="G5">
        <f ca="1">RANDBETWEEN(2, 10)</f>
        <v>9</v>
      </c>
      <c r="H5">
        <f ca="1">RANDBETWEEN(50, 100)</f>
        <v>90</v>
      </c>
    </row>
    <row r="6" spans="1:8">
      <c r="A6" s="23" t="s">
        <v>98</v>
      </c>
      <c r="B6">
        <f ca="1">RANDBETWEEN(50, 100)</f>
        <v>77</v>
      </c>
      <c r="C6">
        <f ca="1">RANDBETWEEN(2, 10)</f>
        <v>7</v>
      </c>
      <c r="D6">
        <f ca="1">RANDBETWEEN(50, 100)</f>
        <v>99</v>
      </c>
      <c r="E6">
        <f ca="1">RANDBETWEEN(2, 10)</f>
        <v>8</v>
      </c>
      <c r="F6">
        <f ca="1">RANDBETWEEN(50, 100)</f>
        <v>98</v>
      </c>
      <c r="G6">
        <f ca="1">RANDBETWEEN(2, 10)</f>
        <v>7</v>
      </c>
      <c r="H6">
        <f ca="1">RANDBETWEEN(50, 100)</f>
        <v>66</v>
      </c>
    </row>
    <row r="7" spans="1:8">
      <c r="A7" t="s">
        <v>99</v>
      </c>
      <c r="B7">
        <f t="shared" ref="B7:B17" ca="1" si="0">RANDBETWEEN(50, 100)</f>
        <v>58</v>
      </c>
      <c r="C7">
        <f t="shared" ref="C7:C17" ca="1" si="1">RANDBETWEEN(2, 10)</f>
        <v>8</v>
      </c>
      <c r="D7">
        <f t="shared" ref="D7:D17" ca="1" si="2">RANDBETWEEN(50, 100)</f>
        <v>69</v>
      </c>
      <c r="E7">
        <f t="shared" ref="E7:E17" ca="1" si="3">RANDBETWEEN(2, 10)</f>
        <v>8</v>
      </c>
      <c r="F7">
        <f t="shared" ref="F7:F17" ca="1" si="4">RANDBETWEEN(50, 100)</f>
        <v>54</v>
      </c>
      <c r="G7">
        <f t="shared" ref="G7:G17" ca="1" si="5">RANDBETWEEN(2, 10)</f>
        <v>4</v>
      </c>
      <c r="H7">
        <f t="shared" ref="H7:H17" ca="1" si="6">RANDBETWEEN(50, 100)</f>
        <v>87</v>
      </c>
    </row>
    <row r="8" spans="1:8">
      <c r="A8" s="23" t="s">
        <v>100</v>
      </c>
      <c r="B8">
        <f t="shared" ca="1" si="0"/>
        <v>74</v>
      </c>
      <c r="C8">
        <f t="shared" ca="1" si="1"/>
        <v>10</v>
      </c>
      <c r="D8">
        <f t="shared" ca="1" si="2"/>
        <v>79</v>
      </c>
      <c r="E8">
        <f t="shared" ca="1" si="3"/>
        <v>2</v>
      </c>
      <c r="F8">
        <f t="shared" ca="1" si="4"/>
        <v>91</v>
      </c>
      <c r="G8">
        <f t="shared" ca="1" si="5"/>
        <v>2</v>
      </c>
      <c r="H8">
        <f t="shared" ca="1" si="6"/>
        <v>69</v>
      </c>
    </row>
    <row r="9" spans="1:8">
      <c r="A9" t="s">
        <v>101</v>
      </c>
      <c r="B9">
        <f t="shared" ca="1" si="0"/>
        <v>60</v>
      </c>
      <c r="C9">
        <f t="shared" ca="1" si="1"/>
        <v>4</v>
      </c>
      <c r="D9">
        <f t="shared" ca="1" si="2"/>
        <v>96</v>
      </c>
      <c r="E9">
        <f t="shared" ca="1" si="3"/>
        <v>6</v>
      </c>
      <c r="F9">
        <f t="shared" ca="1" si="4"/>
        <v>72</v>
      </c>
      <c r="G9">
        <f t="shared" ca="1" si="5"/>
        <v>3</v>
      </c>
      <c r="H9">
        <f t="shared" ca="1" si="6"/>
        <v>63</v>
      </c>
    </row>
    <row r="10" spans="1:8">
      <c r="A10" s="23" t="s">
        <v>102</v>
      </c>
      <c r="B10">
        <f t="shared" ca="1" si="0"/>
        <v>87</v>
      </c>
      <c r="C10">
        <f t="shared" ca="1" si="1"/>
        <v>4</v>
      </c>
      <c r="D10">
        <f t="shared" ca="1" si="2"/>
        <v>56</v>
      </c>
      <c r="E10">
        <f t="shared" ca="1" si="3"/>
        <v>10</v>
      </c>
      <c r="F10">
        <f t="shared" ca="1" si="4"/>
        <v>92</v>
      </c>
      <c r="G10">
        <f t="shared" ca="1" si="5"/>
        <v>10</v>
      </c>
      <c r="H10">
        <f t="shared" ca="1" si="6"/>
        <v>50</v>
      </c>
    </row>
    <row r="11" spans="1:8">
      <c r="A11" t="s">
        <v>166</v>
      </c>
      <c r="B11">
        <f t="shared" ca="1" si="0"/>
        <v>88</v>
      </c>
      <c r="C11">
        <f t="shared" ca="1" si="1"/>
        <v>4</v>
      </c>
      <c r="D11">
        <f t="shared" ca="1" si="2"/>
        <v>93</v>
      </c>
      <c r="E11">
        <f t="shared" ca="1" si="3"/>
        <v>9</v>
      </c>
      <c r="F11">
        <f t="shared" ca="1" si="4"/>
        <v>68</v>
      </c>
      <c r="G11">
        <f t="shared" ca="1" si="5"/>
        <v>5</v>
      </c>
      <c r="H11">
        <f t="shared" ca="1" si="6"/>
        <v>95</v>
      </c>
    </row>
    <row r="12" spans="1:8">
      <c r="A12" s="23" t="s">
        <v>167</v>
      </c>
      <c r="B12">
        <f t="shared" ca="1" si="0"/>
        <v>64</v>
      </c>
      <c r="C12">
        <f t="shared" ca="1" si="1"/>
        <v>8</v>
      </c>
      <c r="D12">
        <f t="shared" ca="1" si="2"/>
        <v>52</v>
      </c>
      <c r="E12">
        <f t="shared" ca="1" si="3"/>
        <v>4</v>
      </c>
      <c r="F12">
        <f t="shared" ca="1" si="4"/>
        <v>99</v>
      </c>
      <c r="G12">
        <f t="shared" ca="1" si="5"/>
        <v>5</v>
      </c>
      <c r="H12">
        <f t="shared" ca="1" si="6"/>
        <v>62</v>
      </c>
    </row>
    <row r="13" spans="1:8">
      <c r="A13" t="s">
        <v>168</v>
      </c>
      <c r="B13">
        <f t="shared" ca="1" si="0"/>
        <v>82</v>
      </c>
      <c r="C13">
        <f t="shared" ca="1" si="1"/>
        <v>2</v>
      </c>
      <c r="D13">
        <f t="shared" ca="1" si="2"/>
        <v>81</v>
      </c>
      <c r="E13">
        <f t="shared" ca="1" si="3"/>
        <v>6</v>
      </c>
      <c r="F13">
        <f t="shared" ca="1" si="4"/>
        <v>89</v>
      </c>
      <c r="G13">
        <f t="shared" ca="1" si="5"/>
        <v>7</v>
      </c>
      <c r="H13">
        <f t="shared" ca="1" si="6"/>
        <v>74</v>
      </c>
    </row>
    <row r="14" spans="1:8">
      <c r="A14" s="23" t="s">
        <v>169</v>
      </c>
      <c r="B14">
        <f t="shared" ca="1" si="0"/>
        <v>85</v>
      </c>
      <c r="C14">
        <f t="shared" ca="1" si="1"/>
        <v>3</v>
      </c>
      <c r="D14">
        <f t="shared" ca="1" si="2"/>
        <v>57</v>
      </c>
      <c r="E14">
        <f t="shared" ca="1" si="3"/>
        <v>7</v>
      </c>
      <c r="F14">
        <f t="shared" ca="1" si="4"/>
        <v>94</v>
      </c>
      <c r="G14">
        <f t="shared" ca="1" si="5"/>
        <v>10</v>
      </c>
      <c r="H14">
        <f t="shared" ca="1" si="6"/>
        <v>80</v>
      </c>
    </row>
    <row r="15" spans="1:8">
      <c r="A15" t="s">
        <v>170</v>
      </c>
      <c r="B15">
        <f t="shared" ca="1" si="0"/>
        <v>95</v>
      </c>
      <c r="C15">
        <f t="shared" ca="1" si="1"/>
        <v>7</v>
      </c>
      <c r="D15">
        <f t="shared" ca="1" si="2"/>
        <v>74</v>
      </c>
      <c r="E15">
        <f t="shared" ca="1" si="3"/>
        <v>2</v>
      </c>
      <c r="F15">
        <f t="shared" ca="1" si="4"/>
        <v>81</v>
      </c>
      <c r="G15">
        <f t="shared" ca="1" si="5"/>
        <v>9</v>
      </c>
      <c r="H15">
        <f t="shared" ca="1" si="6"/>
        <v>62</v>
      </c>
    </row>
    <row r="16" spans="1:8">
      <c r="A16" s="23" t="s">
        <v>171</v>
      </c>
      <c r="B16">
        <f t="shared" ca="1" si="0"/>
        <v>92</v>
      </c>
      <c r="C16">
        <f t="shared" ca="1" si="1"/>
        <v>8</v>
      </c>
      <c r="D16">
        <f t="shared" ca="1" si="2"/>
        <v>85</v>
      </c>
      <c r="E16">
        <f t="shared" ca="1" si="3"/>
        <v>3</v>
      </c>
      <c r="F16">
        <f t="shared" ca="1" si="4"/>
        <v>83</v>
      </c>
      <c r="G16">
        <f t="shared" ca="1" si="5"/>
        <v>10</v>
      </c>
      <c r="H16">
        <f t="shared" ca="1" si="6"/>
        <v>82</v>
      </c>
    </row>
    <row r="17" spans="1:8">
      <c r="A17" t="s">
        <v>172</v>
      </c>
      <c r="B17">
        <f t="shared" ca="1" si="0"/>
        <v>51</v>
      </c>
      <c r="C17">
        <f t="shared" ca="1" si="1"/>
        <v>5</v>
      </c>
      <c r="D17">
        <f t="shared" ca="1" si="2"/>
        <v>71</v>
      </c>
      <c r="E17">
        <f t="shared" ca="1" si="3"/>
        <v>9</v>
      </c>
      <c r="F17">
        <f t="shared" ca="1" si="4"/>
        <v>80</v>
      </c>
      <c r="G17">
        <f t="shared" ca="1" si="5"/>
        <v>4</v>
      </c>
      <c r="H17">
        <f t="shared" ca="1" si="6"/>
        <v>66</v>
      </c>
    </row>
  </sheetData>
  <pageMargins left="0.7" right="0.7" top="0.75" bottom="0.75" header="0.3" footer="0.3"/>
  <pageSetup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Q17"/>
  <sheetViews>
    <sheetView workbookViewId="0"/>
  </sheetViews>
  <sheetFormatPr defaultRowHeight="14.5"/>
  <cols>
    <col min="1" max="1" width="21.7265625" customWidth="1"/>
  </cols>
  <sheetData>
    <row r="1" spans="1:17" ht="58">
      <c r="A1" s="36" t="s">
        <v>76</v>
      </c>
      <c r="B1" s="36" t="s">
        <v>136</v>
      </c>
      <c r="C1" s="36" t="s">
        <v>160</v>
      </c>
      <c r="D1" s="39" t="s">
        <v>161</v>
      </c>
      <c r="E1" s="36" t="s">
        <v>162</v>
      </c>
      <c r="F1" s="36" t="s">
        <v>163</v>
      </c>
      <c r="G1" s="40" t="s">
        <v>164</v>
      </c>
      <c r="H1" s="40" t="s">
        <v>165</v>
      </c>
      <c r="I1" s="22" t="s">
        <v>79</v>
      </c>
      <c r="J1" s="22" t="s">
        <v>80</v>
      </c>
      <c r="K1" s="22" t="s">
        <v>81</v>
      </c>
      <c r="L1" s="22" t="s">
        <v>82</v>
      </c>
      <c r="M1" s="22" t="s">
        <v>83</v>
      </c>
      <c r="N1" s="22" t="s">
        <v>84</v>
      </c>
      <c r="O1" s="22" t="s">
        <v>78</v>
      </c>
      <c r="P1" s="22" t="s">
        <v>89</v>
      </c>
      <c r="Q1" s="22" t="s">
        <v>91</v>
      </c>
    </row>
    <row r="2" spans="1:17">
      <c r="A2" s="23"/>
      <c r="B2" s="23"/>
    </row>
    <row r="3" spans="1:17">
      <c r="A3" s="23"/>
      <c r="B3" s="23"/>
    </row>
    <row r="4" spans="1:17">
      <c r="A4" s="23"/>
      <c r="B4" s="23"/>
    </row>
    <row r="5" spans="1:17">
      <c r="A5" s="23"/>
      <c r="B5" s="23"/>
    </row>
    <row r="6" spans="1:17">
      <c r="A6" s="23"/>
      <c r="B6" s="23"/>
    </row>
    <row r="7" spans="1:17">
      <c r="B7" s="23"/>
    </row>
    <row r="8" spans="1:17">
      <c r="A8" s="23"/>
      <c r="B8" s="23"/>
    </row>
    <row r="9" spans="1:17">
      <c r="B9" s="23"/>
    </row>
    <row r="10" spans="1:17">
      <c r="A10" s="23"/>
      <c r="B10" s="23"/>
    </row>
    <row r="11" spans="1:17">
      <c r="B11" s="23"/>
    </row>
    <row r="12" spans="1:17">
      <c r="A12" s="23"/>
      <c r="B12" s="23"/>
    </row>
    <row r="13" spans="1:17">
      <c r="B13" s="23"/>
    </row>
    <row r="14" spans="1:17">
      <c r="A14" s="23"/>
      <c r="B14" s="23"/>
    </row>
    <row r="15" spans="1:17">
      <c r="B15" s="23"/>
    </row>
    <row r="16" spans="1:17">
      <c r="A16" s="23"/>
      <c r="B16" s="23"/>
    </row>
    <row r="17" spans="2:2">
      <c r="B17" s="23"/>
    </row>
  </sheetData>
  <pageMargins left="0.7" right="0.7" top="0.75" bottom="0.75" header="0.3" footer="0.3"/>
  <pageSetup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4"/>
  <sheetViews>
    <sheetView workbookViewId="0">
      <selection sqref="A1:G1"/>
    </sheetView>
  </sheetViews>
  <sheetFormatPr defaultRowHeight="14.5"/>
  <cols>
    <col min="1" max="1" width="11" bestFit="1" customWidth="1"/>
    <col min="6" max="7" width="10.1796875" bestFit="1" customWidth="1"/>
  </cols>
  <sheetData>
    <row r="1" spans="1:7" ht="28">
      <c r="A1" s="13" t="s">
        <v>173</v>
      </c>
      <c r="B1" s="14" t="s">
        <v>66</v>
      </c>
      <c r="C1" s="14" t="s">
        <v>67</v>
      </c>
      <c r="D1" s="14" t="s">
        <v>68</v>
      </c>
      <c r="E1" s="14" t="s">
        <v>69</v>
      </c>
      <c r="F1" s="14" t="s">
        <v>70</v>
      </c>
      <c r="G1" s="14" t="s">
        <v>71</v>
      </c>
    </row>
    <row r="2" spans="1:7">
      <c r="A2" s="17" t="s">
        <v>72</v>
      </c>
      <c r="B2" s="11">
        <v>100</v>
      </c>
      <c r="C2" s="19">
        <v>10</v>
      </c>
      <c r="D2" s="19">
        <v>45</v>
      </c>
      <c r="E2" s="19">
        <f ca="1">RANDBETWEEN(2,10)</f>
        <v>2</v>
      </c>
      <c r="F2" s="19">
        <v>34</v>
      </c>
      <c r="G2" s="19">
        <f ca="1">RANDBETWEEN(2,10)</f>
        <v>2</v>
      </c>
    </row>
    <row r="3" spans="1:7">
      <c r="A3" s="17" t="s">
        <v>73</v>
      </c>
      <c r="B3" s="11">
        <v>100</v>
      </c>
      <c r="C3" s="19">
        <v>10</v>
      </c>
      <c r="D3" s="19">
        <v>85</v>
      </c>
      <c r="E3" s="19">
        <f ca="1">RANDBETWEEN(2,10)</f>
        <v>6</v>
      </c>
      <c r="F3" s="19">
        <v>45</v>
      </c>
      <c r="G3" s="19">
        <f ca="1">RANDBETWEEN(2,10)</f>
        <v>8</v>
      </c>
    </row>
    <row r="4" spans="1:7" ht="28">
      <c r="A4" s="17" t="s">
        <v>74</v>
      </c>
      <c r="B4" s="11">
        <v>100</v>
      </c>
      <c r="C4" s="19">
        <v>10</v>
      </c>
      <c r="D4" s="19">
        <v>56</v>
      </c>
      <c r="E4" s="19">
        <f ca="1">RANDBETWEEN(2,10)</f>
        <v>2</v>
      </c>
      <c r="F4" s="19">
        <v>55</v>
      </c>
      <c r="G4" s="19">
        <f ca="1">RANDBETWEEN(2,10)</f>
        <v>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2"/>
  <sheetViews>
    <sheetView workbookViewId="0">
      <selection sqref="A1:D1"/>
    </sheetView>
  </sheetViews>
  <sheetFormatPr defaultRowHeight="14.5"/>
  <sheetData>
    <row r="1" spans="1:4" ht="28">
      <c r="A1" t="s">
        <v>173</v>
      </c>
      <c r="B1" s="4" t="s">
        <v>179</v>
      </c>
      <c r="C1" s="4" t="s">
        <v>180</v>
      </c>
      <c r="D1" s="49" t="s">
        <v>181</v>
      </c>
    </row>
    <row r="2" spans="1:4" ht="28">
      <c r="A2" s="17" t="s">
        <v>182</v>
      </c>
      <c r="B2" s="18">
        <v>0.7</v>
      </c>
      <c r="C2" s="50">
        <v>0.6</v>
      </c>
      <c r="D2" s="51">
        <v>0.7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2"/>
  <sheetViews>
    <sheetView workbookViewId="0">
      <selection sqref="A1:I1"/>
    </sheetView>
  </sheetViews>
  <sheetFormatPr defaultRowHeight="14.5"/>
  <cols>
    <col min="1" max="1" width="11.08984375" customWidth="1"/>
  </cols>
  <sheetData>
    <row r="1" spans="1:9" ht="28">
      <c r="A1" s="24" t="s">
        <v>76</v>
      </c>
      <c r="B1" s="24" t="s">
        <v>85</v>
      </c>
      <c r="C1" s="24" t="s">
        <v>86</v>
      </c>
      <c r="D1" s="24" t="s">
        <v>87</v>
      </c>
      <c r="E1" s="24" t="s">
        <v>88</v>
      </c>
      <c r="F1" s="24" t="s">
        <v>89</v>
      </c>
      <c r="G1" s="24" t="s">
        <v>90</v>
      </c>
      <c r="H1" s="24" t="s">
        <v>91</v>
      </c>
      <c r="I1" s="25" t="s">
        <v>92</v>
      </c>
    </row>
    <row r="2" spans="1:9" ht="28">
      <c r="A2" s="4" t="s">
        <v>142</v>
      </c>
      <c r="B2" s="11">
        <v>100</v>
      </c>
      <c r="C2" s="19">
        <v>10</v>
      </c>
      <c r="D2" s="19">
        <f ca="1">RANDBETWEEN(B2 - B2/10, B2)</f>
        <v>94</v>
      </c>
      <c r="E2" s="19">
        <f ca="1">RANDBETWEEN(2,10)</f>
        <v>3</v>
      </c>
      <c r="F2" s="19">
        <f ca="1">RANDBETWEEN(D2 - D2/10, D2)</f>
        <v>89</v>
      </c>
      <c r="G2" s="19">
        <f ca="1">RANDBETWEEN(2,10)</f>
        <v>4</v>
      </c>
      <c r="H2" s="19">
        <f ca="1">RANDBETWEEN(F2 - F2/10, F2)</f>
        <v>86</v>
      </c>
      <c r="I2" s="19">
        <f ca="1">RANDBETWEEN(2,10)</f>
        <v>8</v>
      </c>
    </row>
  </sheetData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6"/>
  <sheetViews>
    <sheetView workbookViewId="0">
      <selection activeCell="J1" sqref="J1"/>
    </sheetView>
  </sheetViews>
  <sheetFormatPr defaultRowHeight="14.5"/>
  <cols>
    <col min="1" max="1" width="12.453125" customWidth="1"/>
  </cols>
  <sheetData>
    <row r="1" spans="1:13" ht="42">
      <c r="A1" s="42" t="s">
        <v>76</v>
      </c>
      <c r="B1" s="43" t="s">
        <v>103</v>
      </c>
      <c r="C1" s="43" t="s">
        <v>86</v>
      </c>
      <c r="D1" s="43" t="s">
        <v>87</v>
      </c>
      <c r="E1" s="43" t="s">
        <v>174</v>
      </c>
      <c r="F1" s="43" t="s">
        <v>175</v>
      </c>
      <c r="G1" s="43" t="s">
        <v>176</v>
      </c>
      <c r="H1" s="43" t="s">
        <v>177</v>
      </c>
      <c r="I1" s="43" t="s">
        <v>89</v>
      </c>
      <c r="J1" s="43" t="s">
        <v>90</v>
      </c>
      <c r="K1" s="43" t="s">
        <v>91</v>
      </c>
      <c r="L1" s="44" t="s">
        <v>92</v>
      </c>
      <c r="M1" s="45" t="s">
        <v>178</v>
      </c>
    </row>
    <row r="2" spans="1:13" ht="29">
      <c r="A2" s="23" t="s">
        <v>93</v>
      </c>
      <c r="B2" s="32">
        <v>44</v>
      </c>
      <c r="C2" s="18">
        <v>0.1</v>
      </c>
      <c r="D2" s="46">
        <v>10</v>
      </c>
      <c r="E2" s="46">
        <v>20</v>
      </c>
      <c r="F2" s="41">
        <f ca="1">RANDBETWEEN(2,10)</f>
        <v>6</v>
      </c>
      <c r="G2" s="46">
        <v>20</v>
      </c>
      <c r="H2" s="41">
        <f ca="1">RANDBETWEEN(2,10)</f>
        <v>8</v>
      </c>
      <c r="I2" s="47">
        <v>0</v>
      </c>
      <c r="J2" s="41">
        <f ca="1">RANDBETWEEN(2,10)</f>
        <v>6</v>
      </c>
      <c r="K2" s="47">
        <v>0</v>
      </c>
      <c r="L2" s="41">
        <f ca="1">RANDBETWEEN(2,10)</f>
        <v>10</v>
      </c>
      <c r="M2" s="48">
        <v>16</v>
      </c>
    </row>
    <row r="3" spans="1:13" ht="29">
      <c r="A3" s="23" t="s">
        <v>94</v>
      </c>
      <c r="B3" s="32">
        <v>55</v>
      </c>
      <c r="C3" s="18">
        <v>0.1</v>
      </c>
      <c r="D3" s="46">
        <v>10</v>
      </c>
      <c r="E3" s="46">
        <v>20</v>
      </c>
      <c r="F3" s="41">
        <f ca="1">RANDBETWEEN(2,10)</f>
        <v>2</v>
      </c>
      <c r="G3" s="46">
        <v>20</v>
      </c>
      <c r="H3" s="41">
        <f ca="1">RANDBETWEEN(2,10)</f>
        <v>10</v>
      </c>
      <c r="I3" s="47">
        <v>0</v>
      </c>
      <c r="J3" s="41">
        <f ca="1">RANDBETWEEN(2,10)</f>
        <v>2</v>
      </c>
      <c r="K3" s="47">
        <v>0</v>
      </c>
      <c r="L3" s="41">
        <f ca="1">RANDBETWEEN(2,10)</f>
        <v>7</v>
      </c>
      <c r="M3" s="48">
        <v>16</v>
      </c>
    </row>
    <row r="4" spans="1:13" ht="29">
      <c r="A4" s="23" t="s">
        <v>95</v>
      </c>
      <c r="B4" s="32">
        <v>66</v>
      </c>
      <c r="C4" s="18">
        <v>0.1</v>
      </c>
      <c r="D4" s="46">
        <v>10</v>
      </c>
      <c r="E4" s="46">
        <v>20</v>
      </c>
      <c r="F4" s="41">
        <f ca="1">RANDBETWEEN(2,10)</f>
        <v>2</v>
      </c>
      <c r="G4" s="46">
        <v>20</v>
      </c>
      <c r="H4" s="41">
        <f ca="1">RANDBETWEEN(2,10)</f>
        <v>4</v>
      </c>
      <c r="I4" s="47">
        <v>0</v>
      </c>
      <c r="J4" s="41">
        <f ca="1">RANDBETWEEN(2,10)</f>
        <v>4</v>
      </c>
      <c r="K4" s="47">
        <v>0</v>
      </c>
      <c r="L4" s="41">
        <f ca="1">RANDBETWEEN(2,10)</f>
        <v>5</v>
      </c>
      <c r="M4" s="48">
        <v>16</v>
      </c>
    </row>
    <row r="5" spans="1:13" ht="29">
      <c r="A5" s="23" t="s">
        <v>97</v>
      </c>
      <c r="B5" s="32">
        <v>77</v>
      </c>
      <c r="C5" s="18">
        <v>0.1</v>
      </c>
      <c r="D5" s="46">
        <v>10</v>
      </c>
      <c r="E5" s="46">
        <v>20</v>
      </c>
      <c r="F5" s="41">
        <f ca="1">RANDBETWEEN(2,10)</f>
        <v>5</v>
      </c>
      <c r="G5" s="46">
        <v>20</v>
      </c>
      <c r="H5" s="41">
        <f ca="1">RANDBETWEEN(2,10)</f>
        <v>7</v>
      </c>
      <c r="I5" s="47">
        <v>0</v>
      </c>
      <c r="J5" s="41">
        <f ca="1">RANDBETWEEN(2,10)</f>
        <v>3</v>
      </c>
      <c r="K5" s="47">
        <v>0</v>
      </c>
      <c r="L5" s="41">
        <f ca="1">RANDBETWEEN(2,10)</f>
        <v>7</v>
      </c>
      <c r="M5" s="48">
        <v>16</v>
      </c>
    </row>
    <row r="6" spans="1:13" ht="29">
      <c r="A6" s="23" t="s">
        <v>98</v>
      </c>
      <c r="B6" s="32">
        <v>44</v>
      </c>
      <c r="C6" s="18">
        <v>0.1</v>
      </c>
      <c r="D6" s="46">
        <v>10</v>
      </c>
      <c r="E6" s="46">
        <v>20</v>
      </c>
      <c r="F6" s="41">
        <f ca="1">RANDBETWEEN(2,10)</f>
        <v>8</v>
      </c>
      <c r="G6" s="46">
        <v>20</v>
      </c>
      <c r="H6" s="41">
        <f ca="1">RANDBETWEEN(2,10)</f>
        <v>8</v>
      </c>
      <c r="I6" s="47">
        <v>0</v>
      </c>
      <c r="J6" s="41">
        <f ca="1">RANDBETWEEN(2,10)</f>
        <v>6</v>
      </c>
      <c r="K6" s="47">
        <v>0</v>
      </c>
      <c r="L6" s="41">
        <f ca="1">RANDBETWEEN(2,10)</f>
        <v>9</v>
      </c>
      <c r="M6" s="48">
        <v>16</v>
      </c>
    </row>
  </sheetData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29AAE-F664-41BB-88E6-67DEF8D813FF}">
  <dimension ref="A1:B3"/>
  <sheetViews>
    <sheetView tabSelected="1" workbookViewId="0">
      <selection activeCell="E3" sqref="E3"/>
    </sheetView>
  </sheetViews>
  <sheetFormatPr defaultRowHeight="14.5"/>
  <sheetData>
    <row r="1" spans="1:2">
      <c r="A1" t="s">
        <v>183</v>
      </c>
      <c r="B1" t="s">
        <v>184</v>
      </c>
    </row>
    <row r="2" spans="1:2">
      <c r="A2" s="52" t="s">
        <v>185</v>
      </c>
      <c r="B2" t="s">
        <v>186</v>
      </c>
    </row>
    <row r="3" spans="1:2">
      <c r="A3" s="52" t="s">
        <v>187</v>
      </c>
      <c r="B3" t="s">
        <v>188</v>
      </c>
    </row>
  </sheetData>
  <hyperlinks>
    <hyperlink ref="A3" r:id="rId1" xr:uid="{98CA2619-7F1D-4E15-8163-1BAC5D395B42}"/>
    <hyperlink ref="A2" r:id="rId2" xr:uid="{058A0DB8-BD78-4308-9C4B-6FBC2AE911AF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11"/>
  <sheetViews>
    <sheetView workbookViewId="0">
      <selection activeCell="A2" sqref="A2:A6"/>
    </sheetView>
  </sheetViews>
  <sheetFormatPr defaultRowHeight="14.5"/>
  <cols>
    <col min="1" max="1" width="15.54296875" bestFit="1" customWidth="1"/>
    <col min="2" max="2" width="7.26953125" bestFit="1" customWidth="1"/>
    <col min="3" max="4" width="6.453125" bestFit="1" customWidth="1"/>
    <col min="5" max="6" width="8" bestFit="1" customWidth="1"/>
    <col min="7" max="8" width="6.6328125" bestFit="1" customWidth="1"/>
    <col min="9" max="9" width="8" bestFit="1" customWidth="1"/>
  </cols>
  <sheetData>
    <row r="1" spans="1:9" ht="72.5">
      <c r="A1" s="21" t="s">
        <v>76</v>
      </c>
      <c r="B1" s="21" t="s">
        <v>77</v>
      </c>
      <c r="C1" s="22" t="s">
        <v>79</v>
      </c>
      <c r="D1" s="22" t="s">
        <v>80</v>
      </c>
      <c r="E1" s="22" t="s">
        <v>81</v>
      </c>
      <c r="F1" s="22" t="s">
        <v>82</v>
      </c>
      <c r="G1" s="22" t="s">
        <v>83</v>
      </c>
      <c r="H1" s="22" t="s">
        <v>84</v>
      </c>
      <c r="I1" s="22" t="s">
        <v>78</v>
      </c>
    </row>
    <row r="2" spans="1:9">
      <c r="A2" t="s">
        <v>93</v>
      </c>
      <c r="B2" s="23" t="s">
        <v>25</v>
      </c>
      <c r="C2" s="23"/>
      <c r="D2" s="23"/>
      <c r="E2" s="23"/>
      <c r="F2" s="23"/>
      <c r="G2" s="23"/>
      <c r="H2" s="23"/>
      <c r="I2" s="23"/>
    </row>
    <row r="3" spans="1:9">
      <c r="A3" t="s">
        <v>94</v>
      </c>
      <c r="B3" s="23" t="s">
        <v>33</v>
      </c>
      <c r="C3" s="23"/>
      <c r="D3" s="23"/>
      <c r="E3" s="23"/>
      <c r="F3" s="23"/>
      <c r="G3" s="23"/>
      <c r="H3" s="23"/>
      <c r="I3" s="23"/>
    </row>
    <row r="4" spans="1:9">
      <c r="A4" t="s">
        <v>95</v>
      </c>
      <c r="B4" s="23" t="s">
        <v>29</v>
      </c>
      <c r="C4" s="23"/>
      <c r="D4" s="23"/>
      <c r="E4" s="23"/>
      <c r="F4" s="23"/>
      <c r="G4" s="23"/>
      <c r="H4" s="23"/>
      <c r="I4" s="23"/>
    </row>
    <row r="5" spans="1:9">
      <c r="A5" t="s">
        <v>96</v>
      </c>
      <c r="B5" s="23" t="s">
        <v>25</v>
      </c>
      <c r="C5" s="23"/>
      <c r="D5" s="23"/>
      <c r="E5" s="23"/>
      <c r="F5" s="23"/>
      <c r="G5" s="23"/>
      <c r="H5" s="23"/>
      <c r="I5" s="23"/>
    </row>
    <row r="6" spans="1:9">
      <c r="A6" t="s">
        <v>97</v>
      </c>
      <c r="B6" s="23" t="s">
        <v>33</v>
      </c>
      <c r="C6" s="23"/>
      <c r="D6" s="23"/>
      <c r="E6" s="23"/>
      <c r="F6" s="23"/>
      <c r="G6" s="23"/>
      <c r="H6" s="23"/>
      <c r="I6" s="23"/>
    </row>
    <row r="7" spans="1:9">
      <c r="A7" t="s">
        <v>98</v>
      </c>
      <c r="B7" s="23" t="s">
        <v>29</v>
      </c>
    </row>
    <row r="8" spans="1:9">
      <c r="A8" t="s">
        <v>99</v>
      </c>
      <c r="B8" s="23" t="s">
        <v>25</v>
      </c>
    </row>
    <row r="9" spans="1:9">
      <c r="A9" t="s">
        <v>100</v>
      </c>
      <c r="B9" s="23" t="s">
        <v>33</v>
      </c>
    </row>
    <row r="10" spans="1:9">
      <c r="A10" t="s">
        <v>101</v>
      </c>
      <c r="B10" s="23" t="s">
        <v>29</v>
      </c>
    </row>
    <row r="11" spans="1:9">
      <c r="A11" t="s">
        <v>102</v>
      </c>
      <c r="B11" s="23" t="s">
        <v>29</v>
      </c>
    </row>
  </sheetData>
  <pageMargins left="0.7" right="0.7" top="0.75" bottom="0.75" header="0.3" footer="0.3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11"/>
  <sheetViews>
    <sheetView workbookViewId="0">
      <selection activeCell="A2" sqref="A2:A6"/>
    </sheetView>
  </sheetViews>
  <sheetFormatPr defaultRowHeight="14.5"/>
  <cols>
    <col min="1" max="1" width="14.54296875" bestFit="1" customWidth="1"/>
  </cols>
  <sheetData>
    <row r="1" spans="1:9" ht="28">
      <c r="A1" s="24" t="s">
        <v>76</v>
      </c>
      <c r="B1" s="24" t="s">
        <v>85</v>
      </c>
      <c r="C1" s="24" t="s">
        <v>86</v>
      </c>
      <c r="D1" s="24" t="s">
        <v>87</v>
      </c>
      <c r="E1" s="24" t="s">
        <v>88</v>
      </c>
      <c r="F1" s="24" t="s">
        <v>89</v>
      </c>
      <c r="G1" s="24" t="s">
        <v>90</v>
      </c>
      <c r="H1" s="24" t="s">
        <v>91</v>
      </c>
      <c r="I1" s="25" t="s">
        <v>92</v>
      </c>
    </row>
    <row r="2" spans="1:9">
      <c r="A2" t="s">
        <v>93</v>
      </c>
      <c r="B2" s="11">
        <v>100</v>
      </c>
      <c r="C2" s="18">
        <v>0.1</v>
      </c>
      <c r="D2" s="19">
        <f t="shared" ref="D2:D11" ca="1" si="0">RANDBETWEEN(B2 - B2/10, B2)</f>
        <v>97</v>
      </c>
      <c r="E2" s="20">
        <v>0.1</v>
      </c>
      <c r="F2" s="19">
        <f t="shared" ref="F2:F11" ca="1" si="1">RANDBETWEEN(D2 - D2/10, D2)</f>
        <v>94</v>
      </c>
      <c r="G2" s="26">
        <v>0.1</v>
      </c>
      <c r="H2" s="19">
        <f t="shared" ref="H2:H11" ca="1" si="2">RANDBETWEEN(F2 - F2/10, F2)</f>
        <v>93</v>
      </c>
      <c r="I2" s="27">
        <v>0.1</v>
      </c>
    </row>
    <row r="3" spans="1:9">
      <c r="A3" t="s">
        <v>94</v>
      </c>
      <c r="B3" s="11">
        <v>200</v>
      </c>
      <c r="C3" s="18">
        <v>0.1</v>
      </c>
      <c r="D3" s="19">
        <f t="shared" ca="1" si="0"/>
        <v>186</v>
      </c>
      <c r="E3" s="20">
        <v>0.1</v>
      </c>
      <c r="F3" s="19">
        <f t="shared" ca="1" si="1"/>
        <v>174</v>
      </c>
      <c r="G3" s="26">
        <v>0.1</v>
      </c>
      <c r="H3" s="19">
        <f t="shared" ca="1" si="2"/>
        <v>163</v>
      </c>
      <c r="I3" s="27">
        <v>0.1</v>
      </c>
    </row>
    <row r="4" spans="1:9">
      <c r="A4" t="s">
        <v>95</v>
      </c>
      <c r="B4" s="11">
        <v>100</v>
      </c>
      <c r="C4" s="18">
        <v>0.1</v>
      </c>
      <c r="D4" s="19">
        <f t="shared" ca="1" si="0"/>
        <v>91</v>
      </c>
      <c r="E4" s="20">
        <v>0.1</v>
      </c>
      <c r="F4" s="19">
        <f t="shared" ca="1" si="1"/>
        <v>89</v>
      </c>
      <c r="G4" s="26">
        <v>0.1</v>
      </c>
      <c r="H4" s="19">
        <f t="shared" ca="1" si="2"/>
        <v>85</v>
      </c>
      <c r="I4" s="27">
        <v>0.1</v>
      </c>
    </row>
    <row r="5" spans="1:9">
      <c r="A5" t="s">
        <v>96</v>
      </c>
      <c r="B5" s="11">
        <v>200</v>
      </c>
      <c r="C5" s="18">
        <v>0.1</v>
      </c>
      <c r="D5" s="19">
        <f t="shared" ca="1" si="0"/>
        <v>188</v>
      </c>
      <c r="E5" s="20">
        <v>0.1</v>
      </c>
      <c r="F5" s="19">
        <f t="shared" ca="1" si="1"/>
        <v>187</v>
      </c>
      <c r="G5" s="26">
        <v>0.1</v>
      </c>
      <c r="H5" s="19">
        <f t="shared" ca="1" si="2"/>
        <v>181</v>
      </c>
      <c r="I5" s="27">
        <v>0.1</v>
      </c>
    </row>
    <row r="6" spans="1:9">
      <c r="A6" t="s">
        <v>97</v>
      </c>
      <c r="B6" s="11">
        <v>300</v>
      </c>
      <c r="C6" s="18">
        <v>0.1</v>
      </c>
      <c r="D6" s="19">
        <f t="shared" ca="1" si="0"/>
        <v>276</v>
      </c>
      <c r="E6" s="20">
        <v>0.1</v>
      </c>
      <c r="F6" s="19">
        <f t="shared" ca="1" si="1"/>
        <v>267</v>
      </c>
      <c r="G6" s="26">
        <v>0.1</v>
      </c>
      <c r="H6" s="19">
        <f t="shared" ca="1" si="2"/>
        <v>246</v>
      </c>
      <c r="I6" s="27">
        <v>0.1</v>
      </c>
    </row>
    <row r="7" spans="1:9">
      <c r="A7" t="s">
        <v>98</v>
      </c>
      <c r="B7" s="11">
        <v>100</v>
      </c>
      <c r="C7" s="18">
        <v>0.1</v>
      </c>
      <c r="D7" s="19">
        <f t="shared" ca="1" si="0"/>
        <v>95</v>
      </c>
      <c r="E7" s="20">
        <v>0.1</v>
      </c>
      <c r="F7" s="19">
        <f t="shared" ca="1" si="1"/>
        <v>87</v>
      </c>
      <c r="G7" s="26">
        <v>0.1</v>
      </c>
      <c r="H7" s="19">
        <f t="shared" ca="1" si="2"/>
        <v>80</v>
      </c>
      <c r="I7" s="27">
        <v>0.1</v>
      </c>
    </row>
    <row r="8" spans="1:9">
      <c r="A8" t="s">
        <v>99</v>
      </c>
      <c r="B8" s="11">
        <v>200</v>
      </c>
      <c r="C8" s="18">
        <v>0.1</v>
      </c>
      <c r="D8" s="19">
        <f t="shared" ca="1" si="0"/>
        <v>193</v>
      </c>
      <c r="E8" s="20">
        <v>0.1</v>
      </c>
      <c r="F8" s="19">
        <f t="shared" ca="1" si="1"/>
        <v>187</v>
      </c>
      <c r="G8" s="26">
        <v>0.1</v>
      </c>
      <c r="H8" s="19">
        <f t="shared" ca="1" si="2"/>
        <v>186</v>
      </c>
      <c r="I8" s="27">
        <v>0.1</v>
      </c>
    </row>
    <row r="9" spans="1:9">
      <c r="A9" t="s">
        <v>100</v>
      </c>
      <c r="B9" s="11">
        <v>100</v>
      </c>
      <c r="C9" s="18">
        <v>0.1</v>
      </c>
      <c r="D9" s="19">
        <f t="shared" ca="1" si="0"/>
        <v>94</v>
      </c>
      <c r="E9" s="20">
        <v>0.1</v>
      </c>
      <c r="F9" s="19">
        <f t="shared" ca="1" si="1"/>
        <v>87</v>
      </c>
      <c r="G9" s="26">
        <v>0.1</v>
      </c>
      <c r="H9" s="19">
        <f t="shared" ca="1" si="2"/>
        <v>82</v>
      </c>
      <c r="I9" s="27">
        <v>0.1</v>
      </c>
    </row>
    <row r="10" spans="1:9">
      <c r="A10" t="s">
        <v>101</v>
      </c>
      <c r="B10" s="11">
        <v>200</v>
      </c>
      <c r="C10" s="18">
        <v>0.1</v>
      </c>
      <c r="D10" s="19">
        <f t="shared" ca="1" si="0"/>
        <v>188</v>
      </c>
      <c r="E10" s="20">
        <v>0.1</v>
      </c>
      <c r="F10" s="19">
        <f t="shared" ca="1" si="1"/>
        <v>182</v>
      </c>
      <c r="G10" s="26">
        <v>0.1</v>
      </c>
      <c r="H10" s="19">
        <f t="shared" ca="1" si="2"/>
        <v>165</v>
      </c>
      <c r="I10" s="27">
        <v>0.1</v>
      </c>
    </row>
    <row r="11" spans="1:9">
      <c r="A11" t="s">
        <v>102</v>
      </c>
      <c r="B11" s="11">
        <v>300</v>
      </c>
      <c r="C11" s="18">
        <v>0.1</v>
      </c>
      <c r="D11" s="19">
        <f t="shared" ca="1" si="0"/>
        <v>282</v>
      </c>
      <c r="E11" s="20">
        <v>0.1</v>
      </c>
      <c r="F11" s="19">
        <f t="shared" ca="1" si="1"/>
        <v>262</v>
      </c>
      <c r="G11" s="26">
        <v>0.1</v>
      </c>
      <c r="H11" s="19">
        <f t="shared" ca="1" si="2"/>
        <v>254</v>
      </c>
      <c r="I11" s="27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Cost and Hours per Month</vt:lpstr>
      <vt:lpstr>Target Sales</vt:lpstr>
      <vt:lpstr>Actual Sales</vt:lpstr>
      <vt:lpstr>Sales Per Color</vt:lpstr>
      <vt:lpstr>Top 10 Pipeline</vt:lpstr>
      <vt:lpstr>Overheads</vt:lpstr>
      <vt:lpstr>Proposal Cost</vt:lpstr>
      <vt:lpstr>Sales Grey</vt:lpstr>
      <vt:lpstr>OI GM as sold</vt:lpstr>
      <vt:lpstr>Project execution (WS3)</vt:lpstr>
      <vt:lpstr>Sheet2</vt:lpstr>
      <vt:lpstr>OU PP (WS4)</vt:lpstr>
      <vt:lpstr>OU CP (WS4)</vt:lpstr>
      <vt:lpstr>CRM Data</vt:lpstr>
      <vt:lpstr>Sales Fixed</vt:lpstr>
      <vt:lpstr>Sales HMR</vt:lpstr>
      <vt:lpstr>Sales All</vt:lpstr>
      <vt:lpstr>Overhead(WS5)</vt:lpstr>
      <vt:lpstr>Billable Ratio(WS5)</vt:lpstr>
      <vt:lpstr>OI GM Green Ammonia (WS7)</vt:lpstr>
      <vt:lpstr>Clean Tech (WS8)</vt:lpstr>
      <vt:lpstr>Page Access</vt:lpstr>
      <vt:lpstr>Order Intake (WS1)</vt:lpstr>
      <vt:lpstr>Sales (WS1,2,7,8)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2026-04-13T09:57:40Z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e4186ff-6105-49c9-a34e-39b846c71822_Enabled">
    <vt:lpwstr>true</vt:lpwstr>
  </property>
  <property fmtid="{D5CDD505-2E9C-101B-9397-08002B2CF9AE}" pid="3" name="MSIP_Label_6e4186ff-6105-49c9-a34e-39b846c71822_SetDate">
    <vt:lpwstr>2026-02-27T09:34:42Z</vt:lpwstr>
  </property>
  <property fmtid="{D5CDD505-2E9C-101B-9397-08002B2CF9AE}" pid="4" name="MSIP_Label_6e4186ff-6105-49c9-a34e-39b846c71822_Method">
    <vt:lpwstr>Standard</vt:lpwstr>
  </property>
  <property fmtid="{D5CDD505-2E9C-101B-9397-08002B2CF9AE}" pid="5" name="MSIP_Label_6e4186ff-6105-49c9-a34e-39b846c71822_Name">
    <vt:lpwstr>Internal</vt:lpwstr>
  </property>
  <property fmtid="{D5CDD505-2E9C-101B-9397-08002B2CF9AE}" pid="6" name="MSIP_Label_6e4186ff-6105-49c9-a34e-39b846c71822_SiteId">
    <vt:lpwstr>5501edf8-56e7-47c5-8cde-a3f87fe1ec0d</vt:lpwstr>
  </property>
  <property fmtid="{D5CDD505-2E9C-101B-9397-08002B2CF9AE}" pid="7" name="MSIP_Label_6e4186ff-6105-49c9-a34e-39b846c71822_ActionId">
    <vt:lpwstr>60c988dc-8255-4dfb-8e60-d62550f83ce0</vt:lpwstr>
  </property>
  <property fmtid="{D5CDD505-2E9C-101B-9397-08002B2CF9AE}" pid="8" name="MSIP_Label_6e4186ff-6105-49c9-a34e-39b846c71822_ContentBits">
    <vt:lpwstr>0</vt:lpwstr>
  </property>
  <property fmtid="{D5CDD505-2E9C-101B-9397-08002B2CF9AE}" pid="9" name="MSIP_Label_6e4186ff-6105-49c9-a34e-39b846c71822_Tag">
    <vt:lpwstr>10, 3, 0, 1</vt:lpwstr>
  </property>
</Properties>
</file>